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15041946-my.sharepoint.com/personal/guillaume_guilbert_ext_plasticomnium_com/Documents/Documents/000-Perso/Conseil patrimoine/"/>
    </mc:Choice>
  </mc:AlternateContent>
  <xr:revisionPtr revIDLastSave="33" documentId="8_{551310C2-36AF-4C6E-9BFF-54D14883EE41}" xr6:coauthVersionLast="47" xr6:coauthVersionMax="47" xr10:uidLastSave="{4D403BF9-2177-421F-BD10-E7C0AAA5007D}"/>
  <bookViews>
    <workbookView xWindow="28680" yWindow="-120" windowWidth="29040" windowHeight="15840" xr2:uid="{00000000-000D-0000-FFFF-FFFF00000000}"/>
  </bookViews>
  <sheets>
    <sheet name="Paramètres" sheetId="1" r:id="rId1"/>
    <sheet name="Graphique" sheetId="5" r:id="rId2"/>
    <sheet name="Simulation" sheetId="2" state="hidden" r:id="rId3"/>
    <sheet name="Annuel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 s="1"/>
  <c r="C1" i="3" s="1"/>
  <c r="B1" i="1"/>
  <c r="B1" i="3" s="1"/>
  <c r="D2" i="2"/>
  <c r="D2" i="3" s="1"/>
  <c r="D1" i="3"/>
  <c r="D1" i="2"/>
  <c r="C5" i="1"/>
  <c r="C3" i="1"/>
  <c r="C2" i="2" s="1"/>
  <c r="B2" i="2"/>
  <c r="B2" i="3" s="1"/>
  <c r="C1" i="2" l="1"/>
  <c r="B1" i="2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3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C2" i="3"/>
  <c r="D15" i="2" l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C3" i="3"/>
  <c r="B3" i="3"/>
  <c r="D4" i="3" l="1"/>
  <c r="D39" i="2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" i="3"/>
  <c r="C4" i="3"/>
  <c r="B4" i="3"/>
  <c r="D51" i="2" l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" i="3"/>
  <c r="B5" i="3"/>
  <c r="C5" i="3"/>
  <c r="D63" i="2" l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" i="3"/>
  <c r="C6" i="3"/>
  <c r="B6" i="3"/>
  <c r="D75" i="2" l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" i="3"/>
  <c r="B7" i="3"/>
  <c r="C7" i="3"/>
  <c r="D87" i="2" l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" i="3"/>
  <c r="C8" i="3"/>
  <c r="B8" i="3"/>
  <c r="D99" i="2" l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0" i="3"/>
  <c r="B9" i="3"/>
  <c r="C9" i="3"/>
  <c r="D11" i="3" l="1"/>
  <c r="D111" i="2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B10" i="3"/>
  <c r="C10" i="3"/>
  <c r="D123" i="2" l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2" i="3"/>
  <c r="B11" i="3"/>
  <c r="C11" i="3"/>
  <c r="D13" i="3" l="1"/>
  <c r="D135" i="2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B12" i="3"/>
  <c r="C12" i="3"/>
  <c r="D147" i="2" l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4" i="3"/>
  <c r="B13" i="3"/>
  <c r="C13" i="3"/>
  <c r="D15" i="3" l="1"/>
  <c r="D159" i="2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C14" i="3"/>
  <c r="B14" i="3"/>
  <c r="D171" i="2" l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6" i="3"/>
  <c r="C15" i="3"/>
  <c r="B15" i="3"/>
  <c r="D183" i="2" l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7" i="3"/>
  <c r="C16" i="3"/>
  <c r="B16" i="3"/>
  <c r="D195" i="2" l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18" i="3"/>
  <c r="B17" i="3"/>
  <c r="C17" i="3"/>
  <c r="D19" i="3" l="1"/>
  <c r="D207" i="2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B18" i="3"/>
  <c r="C18" i="3"/>
  <c r="D219" i="2" l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0" i="3"/>
  <c r="B19" i="3"/>
  <c r="C19" i="3"/>
  <c r="D21" i="3" l="1"/>
  <c r="D231" i="2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2" i="3" s="1"/>
  <c r="B20" i="3"/>
  <c r="C20" i="3"/>
  <c r="C21" i="3" l="1"/>
  <c r="C22" i="3"/>
  <c r="B21" i="3"/>
  <c r="B22" i="3"/>
</calcChain>
</file>

<file path=xl/sharedStrings.xml><?xml version="1.0" encoding="utf-8"?>
<sst xmlns="http://schemas.openxmlformats.org/spreadsheetml/2006/main" count="10" uniqueCount="10">
  <si>
    <t>Paramètre</t>
  </si>
  <si>
    <t>Versement initial (€)</t>
  </si>
  <si>
    <t>Frais d’entrée initial (%)</t>
  </si>
  <si>
    <t>Versement mensuel (€)</t>
  </si>
  <si>
    <t>Frais d’entrée mensuels (%)</t>
  </si>
  <si>
    <t>Frais de gestion annuels (%)</t>
  </si>
  <si>
    <t>Mois</t>
  </si>
  <si>
    <t>Année</t>
  </si>
  <si>
    <t>Placement sur compte courant</t>
  </si>
  <si>
    <t>Rendement annuel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</si>
</sst>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Évolution de la valeur du contrat (20 ans)</a:t>
            </a:r>
          </a:p>
        </c:rich>
      </c:tx>
      <c:layout>
        <c:manualLayout>
          <c:xMode val="edge"/>
          <c:yMode val="edge"/>
          <c:x val="0.28147874446022114"/>
          <c:y val="3.345880384776244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5045393915924444E-2"/>
          <c:y val="2.3217314272353348E-2"/>
          <c:w val="0.8779217761714212"/>
          <c:h val="0.87001435830558826"/>
        </c:manualLayout>
      </c:layout>
      <c:lineChart>
        <c:grouping val="standard"/>
        <c:varyColors val="1"/>
        <c:ser>
          <c:idx val="0"/>
          <c:order val="0"/>
          <c:tx>
            <c:strRef>
              <c:f>Simulation!$B$1</c:f>
              <c:strCache>
                <c:ptCount val="1"/>
                <c:pt idx="0">
                  <c:v>Contrat gestion libre géré par CGP - rendement 5%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Simulation!$A$2:$A$242</c:f>
              <c:numCache>
                <c:formatCode>General</c:formatCode>
                <c:ptCount val="2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</c:numCache>
            </c:numRef>
          </c:cat>
          <c:val>
            <c:numRef>
              <c:f>Simulation!$B$2:$B$242</c:f>
              <c:numCache>
                <c:formatCode>General</c:formatCode>
                <c:ptCount val="241"/>
                <c:pt idx="0">
                  <c:v>952</c:v>
                </c:pt>
                <c:pt idx="1">
                  <c:v>1098.344300426073</c:v>
                </c:pt>
                <c:pt idx="2">
                  <c:v>1245.162375209429</c:v>
                </c:pt>
                <c:pt idx="3">
                  <c:v>1392.4557581449678</c:v>
                </c:pt>
                <c:pt idx="4">
                  <c:v>1540.22598799309</c:v>
                </c:pt>
                <c:pt idx="5">
                  <c:v>1688.4746084957715</c:v>
                </c:pt>
                <c:pt idx="6">
                  <c:v>1837.2031683926916</c:v>
                </c:pt>
                <c:pt idx="7">
                  <c:v>1986.4132214374122</c:v>
                </c:pt>
                <c:pt idx="8">
                  <c:v>2136.1063264136096</c:v>
                </c:pt>
                <c:pt idx="9">
                  <c:v>2286.2840471513591</c:v>
                </c:pt>
                <c:pt idx="10">
                  <c:v>2436.9479525434722</c:v>
                </c:pt>
                <c:pt idx="11">
                  <c:v>2588.0996165618872</c:v>
                </c:pt>
                <c:pt idx="12">
                  <c:v>2739.7406182741115</c:v>
                </c:pt>
                <c:pt idx="13">
                  <c:v>2891.8725418597178</c:v>
                </c:pt>
                <c:pt idx="14">
                  <c:v>3044.4969766268946</c:v>
                </c:pt>
                <c:pt idx="15">
                  <c:v>3197.6155170290504</c:v>
                </c:pt>
                <c:pt idx="16">
                  <c:v>3351.2297626814679</c:v>
                </c:pt>
                <c:pt idx="17">
                  <c:v>3505.3413183780185</c:v>
                </c:pt>
                <c:pt idx="18">
                  <c:v>3659.9517941079248</c:v>
                </c:pt>
                <c:pt idx="19">
                  <c:v>3815.0628050725818</c:v>
                </c:pt>
                <c:pt idx="20">
                  <c:v>3970.6759717024293</c:v>
                </c:pt>
                <c:pt idx="21">
                  <c:v>4126.7929196738805</c:v>
                </c:pt>
                <c:pt idx="22">
                  <c:v>4283.4152799263084</c:v>
                </c:pt>
                <c:pt idx="23">
                  <c:v>4440.5446886790787</c:v>
                </c:pt>
                <c:pt idx="24">
                  <c:v>4598.182787448648</c:v>
                </c:pt>
                <c:pt idx="25">
                  <c:v>4756.3312230657093</c:v>
                </c:pt>
                <c:pt idx="26">
                  <c:v>4914.9916476923991</c:v>
                </c:pt>
                <c:pt idx="27">
                  <c:v>5074.1657188395529</c:v>
                </c:pt>
                <c:pt idx="28">
                  <c:v>5233.8550993840272</c:v>
                </c:pt>
                <c:pt idx="29">
                  <c:v>5394.0614575860682</c:v>
                </c:pt>
                <c:pt idx="30">
                  <c:v>5554.7864671067373</c:v>
                </c:pt>
                <c:pt idx="31">
                  <c:v>5716.0318070254016</c:v>
                </c:pt>
                <c:pt idx="32">
                  <c:v>5877.7991618572705</c:v>
                </c:pt>
                <c:pt idx="33">
                  <c:v>6040.0902215709948</c:v>
                </c:pt>
                <c:pt idx="34">
                  <c:v>6202.9066816063223</c:v>
                </c:pt>
                <c:pt idx="35">
                  <c:v>6366.2502428918087</c:v>
                </c:pt>
                <c:pt idx="36">
                  <c:v>6530.1226118625909</c:v>
                </c:pt>
                <c:pt idx="37">
                  <c:v>6694.5255004782075</c:v>
                </c:pt>
                <c:pt idx="38">
                  <c:v>6859.4606262404877</c:v>
                </c:pt>
                <c:pt idx="39">
                  <c:v>7024.929712211494</c:v>
                </c:pt>
                <c:pt idx="40">
                  <c:v>7190.9344870315217</c:v>
                </c:pt>
                <c:pt idx="41">
                  <c:v>7357.476684937159</c:v>
                </c:pt>
                <c:pt idx="42">
                  <c:v>7524.5580457794022</c:v>
                </c:pt>
                <c:pt idx="43">
                  <c:v>7692.1803150418327</c:v>
                </c:pt>
                <c:pt idx="44">
                  <c:v>7860.3452438588547</c:v>
                </c:pt>
                <c:pt idx="45">
                  <c:v>8029.0545890339845</c:v>
                </c:pt>
                <c:pt idx="46">
                  <c:v>8198.3101130582072</c:v>
                </c:pt>
                <c:pt idx="47">
                  <c:v>8368.1135841283867</c:v>
                </c:pt>
                <c:pt idx="48">
                  <c:v>8538.4667761657402</c:v>
                </c:pt>
                <c:pt idx="49">
                  <c:v>8709.3714688343698</c:v>
                </c:pt>
                <c:pt idx="50">
                  <c:v>8880.8294475598541</c:v>
                </c:pt>
                <c:pt idx="51">
                  <c:v>9052.8425035478976</c:v>
                </c:pt>
                <c:pt idx="52">
                  <c:v>9225.4124338030488</c:v>
                </c:pt>
                <c:pt idx="53">
                  <c:v>9398.5410411474659</c:v>
                </c:pt>
                <c:pt idx="54">
                  <c:v>9572.2301342397604</c:v>
                </c:pt>
                <c:pt idx="55">
                  <c:v>9746.4815275938872</c:v>
                </c:pt>
                <c:pt idx="56">
                  <c:v>9921.2970415980944</c:v>
                </c:pt>
                <c:pt idx="57">
                  <c:v>10096.67850253395</c:v>
                </c:pt>
                <c:pt idx="58">
                  <c:v>10272.627742595419</c:v>
                </c:pt>
                <c:pt idx="59">
                  <c:v>10449.146599907997</c:v>
                </c:pt>
                <c:pt idx="60">
                  <c:v>10626.236918547926</c:v>
                </c:pt>
                <c:pt idx="61">
                  <c:v>10803.900548561447</c:v>
                </c:pt>
                <c:pt idx="62">
                  <c:v>10982.139345984135</c:v>
                </c:pt>
                <c:pt idx="63">
                  <c:v>11160.955172860282</c:v>
                </c:pt>
                <c:pt idx="64">
                  <c:v>11340.349897262357</c:v>
                </c:pt>
                <c:pt idx="65">
                  <c:v>11520.325393310517</c:v>
                </c:pt>
                <c:pt idx="66">
                  <c:v>11700.883541192186</c:v>
                </c:pt>
                <c:pt idx="67">
                  <c:v>11882.026227181699</c:v>
                </c:pt>
                <c:pt idx="68">
                  <c:v>12063.755343660008</c:v>
                </c:pt>
                <c:pt idx="69">
                  <c:v>12246.072789134449</c:v>
                </c:pt>
                <c:pt idx="70">
                  <c:v>12428.980468258575</c:v>
                </c:pt>
                <c:pt idx="71">
                  <c:v>12612.480291852056</c:v>
                </c:pt>
                <c:pt idx="72">
                  <c:v>12796.574176920643</c:v>
                </c:pt>
                <c:pt idx="73">
                  <c:v>12981.264046676193</c:v>
                </c:pt>
                <c:pt idx="74">
                  <c:v>13166.551830556757</c:v>
                </c:pt>
                <c:pt idx="75">
                  <c:v>13352.439464246743</c:v>
                </c:pt>
                <c:pt idx="76">
                  <c:v>13538.928889697132</c:v>
                </c:pt>
                <c:pt idx="77">
                  <c:v>13726.022055145768</c:v>
                </c:pt>
                <c:pt idx="78">
                  <c:v>13913.720915137712</c:v>
                </c:pt>
                <c:pt idx="79">
                  <c:v>14102.027430545662</c:v>
                </c:pt>
                <c:pt idx="80">
                  <c:v>14290.943568590435</c:v>
                </c:pt>
                <c:pt idx="81">
                  <c:v>14480.471302861519</c:v>
                </c:pt>
                <c:pt idx="82">
                  <c:v>14670.612613337689</c:v>
                </c:pt>
                <c:pt idx="83">
                  <c:v>14861.369486407699</c:v>
                </c:pt>
                <c:pt idx="84">
                  <c:v>15052.743914891023</c:v>
                </c:pt>
                <c:pt idx="85">
                  <c:v>15244.737898058685</c:v>
                </c:pt>
                <c:pt idx="86">
                  <c:v>15437.353441654137</c:v>
                </c:pt>
                <c:pt idx="87">
                  <c:v>15630.592557914217</c:v>
                </c:pt>
                <c:pt idx="88">
                  <c:v>15824.457265590167</c:v>
                </c:pt>
                <c:pt idx="89">
                  <c:v>16018.949589968726</c:v>
                </c:pt>
                <c:pt idx="90">
                  <c:v>16214.071562893287</c:v>
                </c:pt>
                <c:pt idx="91">
                  <c:v>16409.825222785123</c:v>
                </c:pt>
                <c:pt idx="92">
                  <c:v>16606.212614664684</c:v>
                </c:pt>
                <c:pt idx="93">
                  <c:v>16803.235790172956</c:v>
                </c:pt>
                <c:pt idx="94">
                  <c:v>17000.896807592901</c:v>
                </c:pt>
                <c:pt idx="95">
                  <c:v>17199.197731870954</c:v>
                </c:pt>
                <c:pt idx="96">
                  <c:v>17398.140634638607</c:v>
                </c:pt>
                <c:pt idx="97">
                  <c:v>17597.727594234027</c:v>
                </c:pt>
                <c:pt idx="98">
                  <c:v>17797.960695723796</c:v>
                </c:pt>
                <c:pt idx="99">
                  <c:v>17998.842030924676</c:v>
                </c:pt>
                <c:pt idx="100">
                  <c:v>18200.373698425468</c:v>
                </c:pt>
                <c:pt idx="101">
                  <c:v>18402.557803608936</c:v>
                </c:pt>
                <c:pt idx="102">
                  <c:v>18605.396458673793</c:v>
                </c:pt>
                <c:pt idx="103">
                  <c:v>18808.891782656781</c:v>
                </c:pt>
                <c:pt idx="104">
                  <c:v>19013.045901454803</c:v>
                </c:pt>
                <c:pt idx="105">
                  <c:v>19217.860947847126</c:v>
                </c:pt>
                <c:pt idx="106">
                  <c:v>19423.339061517669</c:v>
                </c:pt>
                <c:pt idx="107">
                  <c:v>19629.482389077351</c:v>
                </c:pt>
                <c:pt idx="108">
                  <c:v>19836.293084086523</c:v>
                </c:pt>
                <c:pt idx="109">
                  <c:v>20043.773307077459</c:v>
                </c:pt>
                <c:pt idx="110">
                  <c:v>20251.925225576935</c:v>
                </c:pt>
                <c:pt idx="111">
                  <c:v>20460.751014128866</c:v>
                </c:pt>
                <c:pt idx="112">
                  <c:v>20670.252854317019</c:v>
                </c:pt>
                <c:pt idx="113">
                  <c:v>20880.432934787823</c:v>
                </c:pt>
                <c:pt idx="114">
                  <c:v>21091.293451273206</c:v>
                </c:pt>
                <c:pt idx="115">
                  <c:v>21302.836606613557</c:v>
                </c:pt>
                <c:pt idx="116">
                  <c:v>21515.064610780733</c:v>
                </c:pt>
                <c:pt idx="117">
                  <c:v>21727.979680901139</c:v>
                </c:pt>
                <c:pt idx="118">
                  <c:v>21941.584041278893</c:v>
                </c:pt>
                <c:pt idx="119">
                  <c:v>22155.879923419066</c:v>
                </c:pt>
                <c:pt idx="120">
                  <c:v>22370.869566050998</c:v>
                </c:pt>
                <c:pt idx="121">
                  <c:v>22586.555215151675</c:v>
                </c:pt>
                <c:pt idx="122">
                  <c:v>22802.939123969198</c:v>
                </c:pt>
                <c:pt idx="123">
                  <c:v>23020.023553046329</c:v>
                </c:pt>
                <c:pt idx="124">
                  <c:v>23237.810770244094</c:v>
                </c:pt>
                <c:pt idx="125">
                  <c:v>23456.303050765484</c:v>
                </c:pt>
                <c:pt idx="126">
                  <c:v>23675.502677179229</c:v>
                </c:pt>
                <c:pt idx="127">
                  <c:v>23895.411939443624</c:v>
                </c:pt>
                <c:pt idx="128">
                  <c:v>24116.033134930469</c:v>
                </c:pt>
                <c:pt idx="129">
                  <c:v>24337.36856844907</c:v>
                </c:pt>
                <c:pt idx="130">
                  <c:v>24559.420552270305</c:v>
                </c:pt>
                <c:pt idx="131">
                  <c:v>24782.191406150792</c:v>
                </c:pt>
                <c:pt idx="132">
                  <c:v>25005.683457357118</c:v>
                </c:pt>
                <c:pt idx="133">
                  <c:v>25229.899040690143</c:v>
                </c:pt>
                <c:pt idx="134">
                  <c:v>25454.840498509413</c:v>
                </c:pt>
                <c:pt idx="135">
                  <c:v>25680.510180757614</c:v>
                </c:pt>
                <c:pt idx="136">
                  <c:v>25906.910444985118</c:v>
                </c:pt>
                <c:pt idx="137">
                  <c:v>26134.043656374626</c:v>
                </c:pt>
                <c:pt idx="138">
                  <c:v>26361.912187765873</c:v>
                </c:pt>
                <c:pt idx="139">
                  <c:v>26590.518419680415</c:v>
                </c:pt>
                <c:pt idx="140">
                  <c:v>26819.864740346486</c:v>
                </c:pt>
                <c:pt idx="141">
                  <c:v>27049.953545723973</c:v>
                </c:pt>
                <c:pt idx="142">
                  <c:v>27280.787239529422</c:v>
                </c:pt>
                <c:pt idx="143">
                  <c:v>27512.368233261164</c:v>
                </c:pt>
                <c:pt idx="144">
                  <c:v>27744.698946224504</c:v>
                </c:pt>
                <c:pt idx="145">
                  <c:v>27977.781805556995</c:v>
                </c:pt>
                <c:pt idx="146">
                  <c:v>28211.619246253791</c:v>
                </c:pt>
                <c:pt idx="147">
                  <c:v>28446.21371119309</c:v>
                </c:pt>
                <c:pt idx="148">
                  <c:v>28681.567651161655</c:v>
                </c:pt>
                <c:pt idx="149">
                  <c:v>28917.683524880413</c:v>
                </c:pt>
                <c:pt idx="150">
                  <c:v>29154.563799030137</c:v>
                </c:pt>
                <c:pt idx="151">
                  <c:v>29392.210948277228</c:v>
                </c:pt>
                <c:pt idx="152">
                  <c:v>29630.62745529956</c:v>
                </c:pt>
                <c:pt idx="153">
                  <c:v>29869.815810812408</c:v>
                </c:pt>
                <c:pt idx="154">
                  <c:v>30109.778513594491</c:v>
                </c:pt>
                <c:pt idx="155">
                  <c:v>30350.518070514052</c:v>
                </c:pt>
                <c:pt idx="156">
                  <c:v>30592.036996555064</c:v>
                </c:pt>
                <c:pt idx="157">
                  <c:v>30834.337814843493</c:v>
                </c:pt>
                <c:pt idx="158">
                  <c:v>31077.423056673659</c:v>
                </c:pt>
                <c:pt idx="159">
                  <c:v>31321.295261534691</c:v>
                </c:pt>
                <c:pt idx="160">
                  <c:v>31565.956977137044</c:v>
                </c:pt>
                <c:pt idx="161">
                  <c:v>31811.410759439117</c:v>
                </c:pt>
                <c:pt idx="162">
                  <c:v>32057.659172673957</c:v>
                </c:pt>
                <c:pt idx="163">
                  <c:v>32304.70478937605</c:v>
                </c:pt>
                <c:pt idx="164">
                  <c:v>32552.55019040819</c:v>
                </c:pt>
                <c:pt idx="165">
                  <c:v>32801.197964988445</c:v>
                </c:pt>
                <c:pt idx="166">
                  <c:v>33050.650710717215</c:v>
                </c:pt>
                <c:pt idx="167">
                  <c:v>33300.911033604345</c:v>
                </c:pt>
                <c:pt idx="168">
                  <c:v>33551.981548096366</c:v>
                </c:pt>
                <c:pt idx="169">
                  <c:v>33803.864877103813</c:v>
                </c:pt>
                <c:pt idx="170">
                  <c:v>34056.563652028621</c:v>
                </c:pt>
                <c:pt idx="171">
                  <c:v>34310.080512791603</c:v>
                </c:pt>
                <c:pt idx="172">
                  <c:v>34564.418107860045</c:v>
                </c:pt>
                <c:pt idx="173">
                  <c:v>34819.579094275367</c:v>
                </c:pt>
                <c:pt idx="174">
                  <c:v>35075.566137680886</c:v>
                </c:pt>
                <c:pt idx="175">
                  <c:v>35332.381912349665</c:v>
                </c:pt>
                <c:pt idx="176">
                  <c:v>35590.029101212429</c:v>
                </c:pt>
                <c:pt idx="177">
                  <c:v>35848.510395885634</c:v>
                </c:pt>
                <c:pt idx="178">
                  <c:v>36107.828496699542</c:v>
                </c:pt>
                <c:pt idx="179">
                  <c:v>36367.986112726452</c:v>
                </c:pt>
                <c:pt idx="180">
                  <c:v>36628.985961809019</c:v>
                </c:pt>
                <c:pt idx="181">
                  <c:v>36890.830770588618</c:v>
                </c:pt>
                <c:pt idx="182">
                  <c:v>37153.523274533836</c:v>
                </c:pt>
                <c:pt idx="183">
                  <c:v>37417.066217969063</c:v>
                </c:pt>
                <c:pt idx="184">
                  <c:v>37681.462354103147</c:v>
                </c:pt>
                <c:pt idx="185">
                  <c:v>37946.714445058162</c:v>
                </c:pt>
                <c:pt idx="186">
                  <c:v>38212.825261898251</c:v>
                </c:pt>
                <c:pt idx="187">
                  <c:v>38479.797584658612</c:v>
                </c:pt>
                <c:pt idx="188">
                  <c:v>38747.634202374502</c:v>
                </c:pt>
                <c:pt idx="189">
                  <c:v>39016.337913110387</c:v>
                </c:pt>
                <c:pt idx="190">
                  <c:v>39285.911523989162</c:v>
                </c:pt>
                <c:pt idx="191">
                  <c:v>39556.357851221524</c:v>
                </c:pt>
                <c:pt idx="192">
                  <c:v>39827.679720135318</c:v>
                </c:pt>
                <c:pt idx="193">
                  <c:v>40099.879965205117</c:v>
                </c:pt>
                <c:pt idx="194">
                  <c:v>40372.961430081807</c:v>
                </c:pt>
                <c:pt idx="195">
                  <c:v>40646.926967622276</c:v>
                </c:pt>
                <c:pt idx="196">
                  <c:v>40921.779439919264</c:v>
                </c:pt>
                <c:pt idx="197">
                  <c:v>41197.52171833122</c:v>
                </c:pt>
                <c:pt idx="198">
                  <c:v>41474.156683512323</c:v>
                </c:pt>
                <c:pt idx="199">
                  <c:v>41751.687225442576</c:v>
                </c:pt>
                <c:pt idx="200">
                  <c:v>42030.11624345796</c:v>
                </c:pt>
                <c:pt idx="201">
                  <c:v>42309.44664628079</c:v>
                </c:pt>
                <c:pt idx="202">
                  <c:v>42589.681352050036</c:v>
                </c:pt>
                <c:pt idx="203">
                  <c:v>42870.82328835185</c:v>
                </c:pt>
                <c:pt idx="204">
                  <c:v>43152.875392250142</c:v>
                </c:pt>
                <c:pt idx="205">
                  <c:v>43435.840610317246</c:v>
                </c:pt>
                <c:pt idx="206">
                  <c:v>43719.721898664728</c:v>
                </c:pt>
                <c:pt idx="207">
                  <c:v>44004.522222974258</c:v>
                </c:pt>
                <c:pt idx="208">
                  <c:v>44290.244558528582</c:v>
                </c:pt>
                <c:pt idx="209">
                  <c:v>44576.891890242601</c:v>
                </c:pt>
                <c:pt idx="210">
                  <c:v>44864.467212694588</c:v>
                </c:pt>
                <c:pt idx="211">
                  <c:v>45152.97353015744</c:v>
                </c:pt>
                <c:pt idx="212">
                  <c:v>45442.413856630075</c:v>
                </c:pt>
                <c:pt idx="213">
                  <c:v>45732.791215868914</c:v>
                </c:pt>
                <c:pt idx="214">
                  <c:v>46024.108641419472</c:v>
                </c:pt>
                <c:pt idx="215">
                  <c:v>46316.369176648055</c:v>
                </c:pt>
                <c:pt idx="216">
                  <c:v>46609.575874773545</c:v>
                </c:pt>
                <c:pt idx="217">
                  <c:v>46903.731798899302</c:v>
                </c:pt>
                <c:pt idx="218">
                  <c:v>47198.840022045173</c:v>
                </c:pt>
                <c:pt idx="219">
                  <c:v>47494.903627179556</c:v>
                </c:pt>
                <c:pt idx="220">
                  <c:v>47791.92570725167</c:v>
                </c:pt>
                <c:pt idx="221">
                  <c:v>48089.909365223808</c:v>
                </c:pt>
                <c:pt idx="222">
                  <c:v>48388.857714103804</c:v>
                </c:pt>
                <c:pt idx="223">
                  <c:v>48688.773876977502</c:v>
                </c:pt>
                <c:pt idx="224">
                  <c:v>48989.660987041432</c:v>
                </c:pt>
                <c:pt idx="225">
                  <c:v>49291.522187635499</c:v>
                </c:pt>
                <c:pt idx="226">
                  <c:v>49594.360632275857</c:v>
                </c:pt>
                <c:pt idx="227">
                  <c:v>49898.17948468784</c:v>
                </c:pt>
                <c:pt idx="228">
                  <c:v>50202.981918839003</c:v>
                </c:pt>
                <c:pt idx="229">
                  <c:v>50508.771118972283</c:v>
                </c:pt>
                <c:pt idx="230">
                  <c:v>50815.55027963929</c:v>
                </c:pt>
                <c:pt idx="231">
                  <c:v>51123.322605733643</c:v>
                </c:pt>
                <c:pt idx="232">
                  <c:v>51432.091312524484</c:v>
                </c:pt>
                <c:pt idx="233">
                  <c:v>51741.859625690042</c:v>
                </c:pt>
                <c:pt idx="234">
                  <c:v>52052.630781351334</c:v>
                </c:pt>
                <c:pt idx="235">
                  <c:v>52364.408026105993</c:v>
                </c:pt>
                <c:pt idx="236">
                  <c:v>52677.194617062174</c:v>
                </c:pt>
                <c:pt idx="237">
                  <c:v>52990.99382187258</c:v>
                </c:pt>
                <c:pt idx="238">
                  <c:v>53305.808918768576</c:v>
                </c:pt>
                <c:pt idx="239">
                  <c:v>53621.643196594479</c:v>
                </c:pt>
                <c:pt idx="240">
                  <c:v>53938.499954841885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79-4B17-A2AF-B3F803C30B5A}"/>
            </c:ext>
          </c:extLst>
        </c:ser>
        <c:ser>
          <c:idx val="1"/>
          <c:order val="1"/>
          <c:tx>
            <c:strRef>
              <c:f>Simulation!$C$1</c:f>
              <c:strCache>
                <c:ptCount val="1"/>
                <c:pt idx="0">
                  <c:v>Contrat gestion piloté BoursoBank - rendement 5%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Simulation!$A$2:$A$242</c:f>
              <c:numCache>
                <c:formatCode>General</c:formatCode>
                <c:ptCount val="2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</c:numCache>
            </c:numRef>
          </c:cat>
          <c:val>
            <c:numRef>
              <c:f>Simulation!$C$2:$C$242</c:f>
              <c:numCache>
                <c:formatCode>General</c:formatCode>
                <c:ptCount val="241"/>
                <c:pt idx="0">
                  <c:v>1000</c:v>
                </c:pt>
                <c:pt idx="1">
                  <c:v>1152.4720956366893</c:v>
                </c:pt>
                <c:pt idx="2">
                  <c:v>1305.2719526667179</c:v>
                </c:pt>
                <c:pt idx="3">
                  <c:v>1458.4002756618338</c:v>
                </c:pt>
                <c:pt idx="4">
                  <c:v>1611.8577707083671</c:v>
                </c:pt>
                <c:pt idx="5">
                  <c:v>1765.6451454104845</c:v>
                </c:pt>
                <c:pt idx="6">
                  <c:v>1919.7631088934531</c:v>
                </c:pt>
                <c:pt idx="7">
                  <c:v>2074.2123718069106</c:v>
                </c:pt>
                <c:pt idx="8">
                  <c:v>2228.9936463281401</c:v>
                </c:pt>
                <c:pt idx="9">
                  <c:v>2384.1076461653565</c:v>
                </c:pt>
                <c:pt idx="10">
                  <c:v>2539.5550865609962</c:v>
                </c:pt>
                <c:pt idx="11">
                  <c:v>2695.3366842950159</c:v>
                </c:pt>
                <c:pt idx="12">
                  <c:v>2851.4531576881959</c:v>
                </c:pt>
                <c:pt idx="13">
                  <c:v>3007.905226605455</c:v>
                </c:pt>
                <c:pt idx="14">
                  <c:v>3164.6936124591671</c:v>
                </c:pt>
                <c:pt idx="15">
                  <c:v>3321.8190382124899</c:v>
                </c:pt>
                <c:pt idx="16">
                  <c:v>3479.2822283826981</c:v>
                </c:pt>
                <c:pt idx="17">
                  <c:v>3637.0839090445224</c:v>
                </c:pt>
                <c:pt idx="18">
                  <c:v>3795.2248078335006</c:v>
                </c:pt>
                <c:pt idx="19">
                  <c:v>3953.7056539493292</c:v>
                </c:pt>
                <c:pt idx="20">
                  <c:v>4112.5271781592292</c:v>
                </c:pt>
                <c:pt idx="21">
                  <c:v>4271.6901128013133</c:v>
                </c:pt>
                <c:pt idx="22">
                  <c:v>4431.1951917879633</c:v>
                </c:pt>
                <c:pt idx="23">
                  <c:v>4591.0431506092164</c:v>
                </c:pt>
                <c:pt idx="24">
                  <c:v>4751.2347263361526</c:v>
                </c:pt>
                <c:pt idx="25">
                  <c:v>4911.7706576242963</c:v>
                </c:pt>
                <c:pt idx="26">
                  <c:v>5072.6516847170215</c:v>
                </c:pt>
                <c:pt idx="27">
                  <c:v>5233.8785494489657</c:v>
                </c:pt>
                <c:pt idx="28">
                  <c:v>5395.4519952494502</c:v>
                </c:pt>
                <c:pt idx="29">
                  <c:v>5557.3727671459073</c:v>
                </c:pt>
                <c:pt idx="30">
                  <c:v>5719.6416117673152</c:v>
                </c:pt>
                <c:pt idx="31">
                  <c:v>5882.2592773476445</c:v>
                </c:pt>
                <c:pt idx="32">
                  <c:v>6045.2265137293043</c:v>
                </c:pt>
                <c:pt idx="33">
                  <c:v>6208.5440723666006</c:v>
                </c:pt>
                <c:pt idx="34">
                  <c:v>6372.2127063292037</c:v>
                </c:pt>
                <c:pt idx="35">
                  <c:v>6536.2331703056161</c:v>
                </c:pt>
                <c:pt idx="36">
                  <c:v>6700.6062206066581</c:v>
                </c:pt>
                <c:pt idx="37">
                  <c:v>6865.3326151689507</c:v>
                </c:pt>
                <c:pt idx="38">
                  <c:v>7030.4131135584139</c:v>
                </c:pt>
                <c:pt idx="39">
                  <c:v>7195.8484769737643</c:v>
                </c:pt>
                <c:pt idx="40">
                  <c:v>7361.6394682500313</c:v>
                </c:pt>
                <c:pt idx="41">
                  <c:v>7527.786851862068</c:v>
                </c:pt>
                <c:pt idx="42">
                  <c:v>7694.2913939280834</c:v>
                </c:pt>
                <c:pt idx="43">
                  <c:v>7861.1538622131684</c:v>
                </c:pt>
                <c:pt idx="44">
                  <c:v>8028.3750261328405</c:v>
                </c:pt>
                <c:pt idx="45">
                  <c:v>8195.9556567565887</c:v>
                </c:pt>
                <c:pt idx="46">
                  <c:v>8363.8965268114298</c:v>
                </c:pt>
                <c:pt idx="47">
                  <c:v>8532.1984106854761</c:v>
                </c:pt>
                <c:pt idx="48">
                  <c:v>8700.8620844314992</c:v>
                </c:pt>
                <c:pt idx="49">
                  <c:v>8869.8883257705093</c:v>
                </c:pt>
                <c:pt idx="50">
                  <c:v>9039.2779140953444</c:v>
                </c:pt>
                <c:pt idx="51">
                  <c:v>9209.0316304742646</c:v>
                </c:pt>
                <c:pt idx="52">
                  <c:v>9379.1502576545518</c:v>
                </c:pt>
                <c:pt idx="53">
                  <c:v>9549.6345800661202</c:v>
                </c:pt>
                <c:pt idx="54">
                  <c:v>9720.4853838251292</c:v>
                </c:pt>
                <c:pt idx="55">
                  <c:v>9891.703456737614</c:v>
                </c:pt>
                <c:pt idx="56">
                  <c:v>10063.289588303116</c:v>
                </c:pt>
                <c:pt idx="57">
                  <c:v>10235.244569718323</c:v>
                </c:pt>
                <c:pt idx="58">
                  <c:v>10407.569193880714</c:v>
                </c:pt>
                <c:pt idx="59">
                  <c:v>10580.264255392223</c:v>
                </c:pt>
                <c:pt idx="60">
                  <c:v>10753.3305505629</c:v>
                </c:pt>
                <c:pt idx="61">
                  <c:v>10926.768877414574</c:v>
                </c:pt>
                <c:pt idx="62">
                  <c:v>11100.580035684548</c:v>
                </c:pt>
                <c:pt idx="63">
                  <c:v>11274.764826829276</c:v>
                </c:pt>
                <c:pt idx="64">
                  <c:v>11449.324054028062</c:v>
                </c:pt>
                <c:pt idx="65">
                  <c:v>11624.258522186763</c:v>
                </c:pt>
                <c:pt idx="66">
                  <c:v>11799.569037941499</c:v>
                </c:pt>
                <c:pt idx="67">
                  <c:v>11975.256409662377</c:v>
                </c:pt>
                <c:pt idx="68">
                  <c:v>12151.321447457214</c:v>
                </c:pt>
                <c:pt idx="69">
                  <c:v>12327.764963175276</c:v>
                </c:pt>
                <c:pt idx="70">
                  <c:v>12504.587770411013</c:v>
                </c:pt>
                <c:pt idx="71">
                  <c:v>12681.790684507825</c:v>
                </c:pt>
                <c:pt idx="72">
                  <c:v>12859.374522561808</c:v>
                </c:pt>
                <c:pt idx="73">
                  <c:v>13037.340103425529</c:v>
                </c:pt>
                <c:pt idx="74">
                  <c:v>13215.688247711803</c:v>
                </c:pt>
                <c:pt idx="75">
                  <c:v>13394.41977779747</c:v>
                </c:pt>
                <c:pt idx="76">
                  <c:v>13573.535517827191</c:v>
                </c:pt>
                <c:pt idx="77">
                  <c:v>13753.036293717252</c:v>
                </c:pt>
                <c:pt idx="78">
                  <c:v>13932.922933159365</c:v>
                </c:pt>
                <c:pt idx="79">
                  <c:v>14113.196265624489</c:v>
                </c:pt>
                <c:pt idx="80">
                  <c:v>14293.857122366655</c:v>
                </c:pt>
                <c:pt idx="81">
                  <c:v>14474.906336426797</c:v>
                </c:pt>
                <c:pt idx="82">
                  <c:v>14656.344742636595</c:v>
                </c:pt>
                <c:pt idx="83">
                  <c:v>14838.173177622322</c:v>
                </c:pt>
                <c:pt idx="84">
                  <c:v>15020.392479808706</c:v>
                </c:pt>
                <c:pt idx="85">
                  <c:v>15203.003489422792</c:v>
                </c:pt>
                <c:pt idx="86">
                  <c:v>15386.007048497813</c:v>
                </c:pt>
                <c:pt idx="87">
                  <c:v>15569.404000877086</c:v>
                </c:pt>
                <c:pt idx="88">
                  <c:v>15753.195192217889</c:v>
                </c:pt>
                <c:pt idx="89">
                  <c:v>15937.381469995364</c:v>
                </c:pt>
                <c:pt idx="90">
                  <c:v>16121.963683506432</c:v>
                </c:pt>
                <c:pt idx="91">
                  <c:v>16306.942683873702</c:v>
                </c:pt>
                <c:pt idx="92">
                  <c:v>16492.319324049397</c:v>
                </c:pt>
                <c:pt idx="93">
                  <c:v>16678.094458819283</c:v>
                </c:pt>
                <c:pt idx="94">
                  <c:v>16864.268944806623</c:v>
                </c:pt>
                <c:pt idx="95">
                  <c:v>17050.843640476109</c:v>
                </c:pt>
                <c:pt idx="96">
                  <c:v>17237.819406137842</c:v>
                </c:pt>
                <c:pt idx="97">
                  <c:v>17425.197103951279</c:v>
                </c:pt>
                <c:pt idx="98">
                  <c:v>17612.977597929217</c:v>
                </c:pt>
                <c:pt idx="99">
                  <c:v>17801.161753941782</c:v>
                </c:pt>
                <c:pt idx="100">
                  <c:v>17989.75043972041</c:v>
                </c:pt>
                <c:pt idx="101">
                  <c:v>18178.744524861857</c:v>
                </c:pt>
                <c:pt idx="102">
                  <c:v>18368.144880832206</c:v>
                </c:pt>
                <c:pt idx="103">
                  <c:v>18557.952380970888</c:v>
                </c:pt>
                <c:pt idx="104">
                  <c:v>18748.1679004947</c:v>
                </c:pt>
                <c:pt idx="105">
                  <c:v>18938.792316501858</c:v>
                </c:pt>
                <c:pt idx="106">
                  <c:v>19129.826507976024</c:v>
                </c:pt>
                <c:pt idx="107">
                  <c:v>19321.271355790363</c:v>
                </c:pt>
                <c:pt idx="108">
                  <c:v>19513.127742711615</c:v>
                </c:pt>
                <c:pt idx="109">
                  <c:v>19705.396553404153</c:v>
                </c:pt>
                <c:pt idx="110">
                  <c:v>19898.078674434069</c:v>
                </c:pt>
                <c:pt idx="111">
                  <c:v>20091.17499427326</c:v>
                </c:pt>
                <c:pt idx="112">
                  <c:v>20284.686403303524</c:v>
                </c:pt>
                <c:pt idx="113">
                  <c:v>20478.613793820667</c:v>
                </c:pt>
                <c:pt idx="114">
                  <c:v>20672.958060038625</c:v>
                </c:pt>
                <c:pt idx="115">
                  <c:v>20867.720098093567</c:v>
                </c:pt>
                <c:pt idx="116">
                  <c:v>21062.900806048045</c:v>
                </c:pt>
                <c:pt idx="117">
                  <c:v>21258.501083895131</c:v>
                </c:pt>
                <c:pt idx="118">
                  <c:v>21454.521833562569</c:v>
                </c:pt>
                <c:pt idx="119">
                  <c:v>21650.96395891692</c:v>
                </c:pt>
                <c:pt idx="120">
                  <c:v>21847.828365767749</c:v>
                </c:pt>
                <c:pt idx="121">
                  <c:v>22045.115961871794</c:v>
                </c:pt>
                <c:pt idx="122">
                  <c:v>22242.827656937145</c:v>
                </c:pt>
                <c:pt idx="123">
                  <c:v>22440.964362627445</c:v>
                </c:pt>
                <c:pt idx="124">
                  <c:v>22639.526992566098</c:v>
                </c:pt>
                <c:pt idx="125">
                  <c:v>22838.516462340471</c:v>
                </c:pt>
                <c:pt idx="126">
                  <c:v>23037.933689506128</c:v>
                </c:pt>
                <c:pt idx="127">
                  <c:v>23237.779593591054</c:v>
                </c:pt>
                <c:pt idx="128">
                  <c:v>23438.055096099892</c:v>
                </c:pt>
                <c:pt idx="129">
                  <c:v>23638.761120518197</c:v>
                </c:pt>
                <c:pt idx="130">
                  <c:v>23839.898592316698</c:v>
                </c:pt>
                <c:pt idx="131">
                  <c:v>24041.468438955551</c:v>
                </c:pt>
                <c:pt idx="132">
                  <c:v>24243.471589888635</c:v>
                </c:pt>
                <c:pt idx="133">
                  <c:v>24445.908976567822</c:v>
                </c:pt>
                <c:pt idx="134">
                  <c:v>24648.781532447279</c:v>
                </c:pt>
                <c:pt idx="135">
                  <c:v>24852.090192987776</c:v>
                </c:pt>
                <c:pt idx="136">
                  <c:v>25055.835895660988</c:v>
                </c:pt>
                <c:pt idx="137">
                  <c:v>25260.019579953827</c:v>
                </c:pt>
                <c:pt idx="138">
                  <c:v>25464.642187372774</c:v>
                </c:pt>
                <c:pt idx="139">
                  <c:v>25669.704661448217</c:v>
                </c:pt>
                <c:pt idx="140">
                  <c:v>25875.207947738796</c:v>
                </c:pt>
                <c:pt idx="141">
                  <c:v>26081.152993835782</c:v>
                </c:pt>
                <c:pt idx="142">
                  <c:v>26287.540749367421</c:v>
                </c:pt>
                <c:pt idx="143">
                  <c:v>26494.372166003337</c:v>
                </c:pt>
                <c:pt idx="144">
                  <c:v>26701.648197458901</c:v>
                </c:pt>
                <c:pt idx="145">
                  <c:v>26909.36979949964</c:v>
                </c:pt>
                <c:pt idx="146">
                  <c:v>27117.53792994564</c:v>
                </c:pt>
                <c:pt idx="147">
                  <c:v>27326.153548675964</c:v>
                </c:pt>
                <c:pt idx="148">
                  <c:v>27535.217617633079</c:v>
                </c:pt>
                <c:pt idx="149">
                  <c:v>27744.731100827288</c:v>
                </c:pt>
                <c:pt idx="150">
                  <c:v>27954.694964341175</c:v>
                </c:pt>
                <c:pt idx="151">
                  <c:v>28165.11017633407</c:v>
                </c:pt>
                <c:pt idx="152">
                  <c:v>28375.977707046495</c:v>
                </c:pt>
                <c:pt idx="153">
                  <c:v>28587.298528804655</c:v>
                </c:pt>
                <c:pt idx="154">
                  <c:v>28799.073616024911</c:v>
                </c:pt>
                <c:pt idx="155">
                  <c:v>29011.303945218275</c:v>
                </c:pt>
                <c:pt idx="156">
                  <c:v>29223.99049499492</c:v>
                </c:pt>
                <c:pt idx="157">
                  <c:v>29437.134246068683</c:v>
                </c:pt>
                <c:pt idx="158">
                  <c:v>29650.736181261589</c:v>
                </c:pt>
                <c:pt idx="159">
                  <c:v>29864.79728550839</c:v>
                </c:pt>
                <c:pt idx="160">
                  <c:v>30079.318545861101</c:v>
                </c:pt>
                <c:pt idx="161">
                  <c:v>30294.300951493544</c:v>
                </c:pt>
                <c:pt idx="162">
                  <c:v>30509.745493705926</c:v>
                </c:pt>
                <c:pt idx="163">
                  <c:v>30725.653165929398</c:v>
                </c:pt>
                <c:pt idx="164">
                  <c:v>30942.024963730633</c:v>
                </c:pt>
                <c:pt idx="165">
                  <c:v>31158.861884816433</c:v>
                </c:pt>
                <c:pt idx="166">
                  <c:v>31376.16492903831</c:v>
                </c:pt>
                <c:pt idx="167">
                  <c:v>31593.935098397109</c:v>
                </c:pt>
                <c:pt idx="168">
                  <c:v>31812.173397047623</c:v>
                </c:pt>
                <c:pt idx="169">
                  <c:v>32030.880831303228</c:v>
                </c:pt>
                <c:pt idx="170">
                  <c:v>32250.058409640515</c:v>
                </c:pt>
                <c:pt idx="171">
                  <c:v>32469.707142703945</c:v>
                </c:pt>
                <c:pt idx="172">
                  <c:v>32689.828043310517</c:v>
                </c:pt>
                <c:pt idx="173">
                  <c:v>32910.422126454418</c:v>
                </c:pt>
                <c:pt idx="174">
                  <c:v>33131.490409311729</c:v>
                </c:pt>
                <c:pt idx="175">
                  <c:v>33353.033911245097</c:v>
                </c:pt>
                <c:pt idx="176">
                  <c:v>33575.053653808434</c:v>
                </c:pt>
                <c:pt idx="177">
                  <c:v>33797.550660751644</c:v>
                </c:pt>
                <c:pt idx="178">
                  <c:v>34020.525958025326</c:v>
                </c:pt>
                <c:pt idx="179">
                  <c:v>34243.980573785506</c:v>
                </c:pt>
                <c:pt idx="180">
                  <c:v>34467.915538398396</c:v>
                </c:pt>
                <c:pt idx="181">
                  <c:v>34692.331884445128</c:v>
                </c:pt>
                <c:pt idx="182">
                  <c:v>34917.23064672653</c:v>
                </c:pt>
                <c:pt idx="183">
                  <c:v>35142.612862267873</c:v>
                </c:pt>
                <c:pt idx="184">
                  <c:v>35368.479570323674</c:v>
                </c:pt>
                <c:pt idx="185">
                  <c:v>35594.831812382479</c:v>
                </c:pt>
                <c:pt idx="186">
                  <c:v>35821.670632171677</c:v>
                </c:pt>
                <c:pt idx="187">
                  <c:v>36048.997075662293</c:v>
                </c:pt>
                <c:pt idx="188">
                  <c:v>36276.812191073826</c:v>
                </c:pt>
                <c:pt idx="189">
                  <c:v>36505.117028879089</c:v>
                </c:pt>
                <c:pt idx="190">
                  <c:v>36733.912641809024</c:v>
                </c:pt>
                <c:pt idx="191">
                  <c:v>36963.200084857584</c:v>
                </c:pt>
                <c:pt idx="192">
                  <c:v>37192.980415286584</c:v>
                </c:pt>
                <c:pt idx="193">
                  <c:v>37423.25469263058</c:v>
                </c:pt>
                <c:pt idx="194">
                  <c:v>37654.023978701764</c:v>
                </c:pt>
                <c:pt idx="195">
                  <c:v>37885.289337594841</c:v>
                </c:pt>
                <c:pt idx="196">
                  <c:v>38117.051835691949</c:v>
                </c:pt>
                <c:pt idx="197">
                  <c:v>38349.312541667576</c:v>
                </c:pt>
                <c:pt idx="198">
                  <c:v>38582.072526493481</c:v>
                </c:pt>
                <c:pt idx="199">
                  <c:v>38815.332863443633</c:v>
                </c:pt>
                <c:pt idx="200">
                  <c:v>39049.094628099163</c:v>
                </c:pt>
                <c:pt idx="201">
                  <c:v>39283.358898353326</c:v>
                </c:pt>
                <c:pt idx="202">
                  <c:v>39518.126754416473</c:v>
                </c:pt>
                <c:pt idx="203">
                  <c:v>39753.399278821016</c:v>
                </c:pt>
                <c:pt idx="204">
                  <c:v>39989.177556426439</c:v>
                </c:pt>
                <c:pt idx="205">
                  <c:v>40225.462674424292</c:v>
                </c:pt>
                <c:pt idx="206">
                  <c:v>40462.255722343201</c:v>
                </c:pt>
                <c:pt idx="207">
                  <c:v>40699.5577920539</c:v>
                </c:pt>
                <c:pt idx="208">
                  <c:v>40937.369977774266</c:v>
                </c:pt>
                <c:pt idx="209">
                  <c:v>41175.693376074341</c:v>
                </c:pt>
                <c:pt idx="210">
                  <c:v>41414.529085881426</c:v>
                </c:pt>
                <c:pt idx="211">
                  <c:v>41653.878208485119</c:v>
                </c:pt>
                <c:pt idx="212">
                  <c:v>41893.741847542406</c:v>
                </c:pt>
                <c:pt idx="213">
                  <c:v>42134.121109082742</c:v>
                </c:pt>
                <c:pt idx="214">
                  <c:v>42375.017101513178</c:v>
                </c:pt>
                <c:pt idx="215">
                  <c:v>42616.430935623423</c:v>
                </c:pt>
                <c:pt idx="216">
                  <c:v>42858.363724591007</c:v>
                </c:pt>
                <c:pt idx="217">
                  <c:v>43100.816583986401</c:v>
                </c:pt>
                <c:pt idx="218">
                  <c:v>43343.790631778153</c:v>
                </c:pt>
                <c:pt idx="219">
                  <c:v>43587.286988338055</c:v>
                </c:pt>
                <c:pt idx="220">
                  <c:v>43831.306776446312</c:v>
                </c:pt>
                <c:pt idx="221">
                  <c:v>44075.851121296691</c:v>
                </c:pt>
                <c:pt idx="222">
                  <c:v>44320.921150501752</c:v>
                </c:pt>
                <c:pt idx="223">
                  <c:v>44566.517994098016</c:v>
                </c:pt>
                <c:pt idx="224">
                  <c:v>44812.642784551179</c:v>
                </c:pt>
                <c:pt idx="225">
                  <c:v>45059.296656761355</c:v>
                </c:pt>
                <c:pt idx="226">
                  <c:v>45306.480748068287</c:v>
                </c:pt>
                <c:pt idx="227">
                  <c:v>45554.196198256584</c:v>
                </c:pt>
                <c:pt idx="228">
                  <c:v>45802.444149561015</c:v>
                </c:pt>
                <c:pt idx="229">
                  <c:v>46051.225746671742</c:v>
                </c:pt>
                <c:pt idx="230">
                  <c:v>46300.542136739597</c:v>
                </c:pt>
                <c:pt idx="231">
                  <c:v>46550.394469381405</c:v>
                </c:pt>
                <c:pt idx="232">
                  <c:v>46800.783896685243</c:v>
                </c:pt>
                <c:pt idx="233">
                  <c:v>47051.711573215791</c:v>
                </c:pt>
                <c:pt idx="234">
                  <c:v>47303.17865601962</c:v>
                </c:pt>
                <c:pt idx="235">
                  <c:v>47555.186304630559</c:v>
                </c:pt>
                <c:pt idx="236">
                  <c:v>47807.735681075013</c:v>
                </c:pt>
                <c:pt idx="237">
                  <c:v>48060.827949877341</c:v>
                </c:pt>
                <c:pt idx="238">
                  <c:v>48314.464278065221</c:v>
                </c:pt>
                <c:pt idx="239">
                  <c:v>48568.645835175033</c:v>
                </c:pt>
                <c:pt idx="240">
                  <c:v>48823.37379325724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79-4B17-A2AF-B3F803C30B5A}"/>
            </c:ext>
          </c:extLst>
        </c:ser>
        <c:ser>
          <c:idx val="2"/>
          <c:order val="2"/>
          <c:tx>
            <c:strRef>
              <c:f>Simulation!$D$1</c:f>
              <c:strCache>
                <c:ptCount val="1"/>
                <c:pt idx="0">
                  <c:v>Placement sur compte courant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Simulation!$D$2:$D$242</c:f>
              <c:numCache>
                <c:formatCode>General</c:formatCode>
                <c:ptCount val="241"/>
                <c:pt idx="0">
                  <c:v>1000</c:v>
                </c:pt>
                <c:pt idx="1">
                  <c:v>1150</c:v>
                </c:pt>
                <c:pt idx="2">
                  <c:v>1300</c:v>
                </c:pt>
                <c:pt idx="3">
                  <c:v>1450</c:v>
                </c:pt>
                <c:pt idx="4">
                  <c:v>1600</c:v>
                </c:pt>
                <c:pt idx="5">
                  <c:v>1750</c:v>
                </c:pt>
                <c:pt idx="6">
                  <c:v>1900</c:v>
                </c:pt>
                <c:pt idx="7">
                  <c:v>2050</c:v>
                </c:pt>
                <c:pt idx="8">
                  <c:v>2200</c:v>
                </c:pt>
                <c:pt idx="9">
                  <c:v>2350</c:v>
                </c:pt>
                <c:pt idx="10">
                  <c:v>2500</c:v>
                </c:pt>
                <c:pt idx="11">
                  <c:v>2650</c:v>
                </c:pt>
                <c:pt idx="12">
                  <c:v>2800</c:v>
                </c:pt>
                <c:pt idx="13">
                  <c:v>2950</c:v>
                </c:pt>
                <c:pt idx="14">
                  <c:v>3100</c:v>
                </c:pt>
                <c:pt idx="15">
                  <c:v>3250</c:v>
                </c:pt>
                <c:pt idx="16">
                  <c:v>3400</c:v>
                </c:pt>
                <c:pt idx="17">
                  <c:v>3550</c:v>
                </c:pt>
                <c:pt idx="18">
                  <c:v>3700</c:v>
                </c:pt>
                <c:pt idx="19">
                  <c:v>3850</c:v>
                </c:pt>
                <c:pt idx="20">
                  <c:v>4000</c:v>
                </c:pt>
                <c:pt idx="21">
                  <c:v>4150</c:v>
                </c:pt>
                <c:pt idx="22">
                  <c:v>4300</c:v>
                </c:pt>
                <c:pt idx="23">
                  <c:v>4450</c:v>
                </c:pt>
                <c:pt idx="24">
                  <c:v>4600</c:v>
                </c:pt>
                <c:pt idx="25">
                  <c:v>4750</c:v>
                </c:pt>
                <c:pt idx="26">
                  <c:v>4900</c:v>
                </c:pt>
                <c:pt idx="27">
                  <c:v>5050</c:v>
                </c:pt>
                <c:pt idx="28">
                  <c:v>5200</c:v>
                </c:pt>
                <c:pt idx="29">
                  <c:v>5350</c:v>
                </c:pt>
                <c:pt idx="30">
                  <c:v>5500</c:v>
                </c:pt>
                <c:pt idx="31">
                  <c:v>5650</c:v>
                </c:pt>
                <c:pt idx="32">
                  <c:v>5800</c:v>
                </c:pt>
                <c:pt idx="33">
                  <c:v>5950</c:v>
                </c:pt>
                <c:pt idx="34">
                  <c:v>6100</c:v>
                </c:pt>
                <c:pt idx="35">
                  <c:v>6250</c:v>
                </c:pt>
                <c:pt idx="36">
                  <c:v>6400</c:v>
                </c:pt>
                <c:pt idx="37">
                  <c:v>6550</c:v>
                </c:pt>
                <c:pt idx="38">
                  <c:v>6700</c:v>
                </c:pt>
                <c:pt idx="39">
                  <c:v>6850</c:v>
                </c:pt>
                <c:pt idx="40">
                  <c:v>7000</c:v>
                </c:pt>
                <c:pt idx="41">
                  <c:v>7150</c:v>
                </c:pt>
                <c:pt idx="42">
                  <c:v>7300</c:v>
                </c:pt>
                <c:pt idx="43">
                  <c:v>7450</c:v>
                </c:pt>
                <c:pt idx="44">
                  <c:v>7600</c:v>
                </c:pt>
                <c:pt idx="45">
                  <c:v>7750</c:v>
                </c:pt>
                <c:pt idx="46">
                  <c:v>7900</c:v>
                </c:pt>
                <c:pt idx="47">
                  <c:v>8050</c:v>
                </c:pt>
                <c:pt idx="48">
                  <c:v>8200</c:v>
                </c:pt>
                <c:pt idx="49">
                  <c:v>8350</c:v>
                </c:pt>
                <c:pt idx="50">
                  <c:v>8500</c:v>
                </c:pt>
                <c:pt idx="51">
                  <c:v>8650</c:v>
                </c:pt>
                <c:pt idx="52">
                  <c:v>8800</c:v>
                </c:pt>
                <c:pt idx="53">
                  <c:v>8950</c:v>
                </c:pt>
                <c:pt idx="54">
                  <c:v>9100</c:v>
                </c:pt>
                <c:pt idx="55">
                  <c:v>9250</c:v>
                </c:pt>
                <c:pt idx="56">
                  <c:v>9400</c:v>
                </c:pt>
                <c:pt idx="57">
                  <c:v>9550</c:v>
                </c:pt>
                <c:pt idx="58">
                  <c:v>9700</c:v>
                </c:pt>
                <c:pt idx="59">
                  <c:v>9850</c:v>
                </c:pt>
                <c:pt idx="60">
                  <c:v>10000</c:v>
                </c:pt>
                <c:pt idx="61">
                  <c:v>10150</c:v>
                </c:pt>
                <c:pt idx="62">
                  <c:v>10300</c:v>
                </c:pt>
                <c:pt idx="63">
                  <c:v>10450</c:v>
                </c:pt>
                <c:pt idx="64">
                  <c:v>10600</c:v>
                </c:pt>
                <c:pt idx="65">
                  <c:v>10750</c:v>
                </c:pt>
                <c:pt idx="66">
                  <c:v>10900</c:v>
                </c:pt>
                <c:pt idx="67">
                  <c:v>11050</c:v>
                </c:pt>
                <c:pt idx="68">
                  <c:v>11200</c:v>
                </c:pt>
                <c:pt idx="69">
                  <c:v>11350</c:v>
                </c:pt>
                <c:pt idx="70">
                  <c:v>11500</c:v>
                </c:pt>
                <c:pt idx="71">
                  <c:v>11650</c:v>
                </c:pt>
                <c:pt idx="72">
                  <c:v>11800</c:v>
                </c:pt>
                <c:pt idx="73">
                  <c:v>11950</c:v>
                </c:pt>
                <c:pt idx="74">
                  <c:v>12100</c:v>
                </c:pt>
                <c:pt idx="75">
                  <c:v>12250</c:v>
                </c:pt>
                <c:pt idx="76">
                  <c:v>12400</c:v>
                </c:pt>
                <c:pt idx="77">
                  <c:v>12550</c:v>
                </c:pt>
                <c:pt idx="78">
                  <c:v>12700</c:v>
                </c:pt>
                <c:pt idx="79">
                  <c:v>12850</c:v>
                </c:pt>
                <c:pt idx="80">
                  <c:v>13000</c:v>
                </c:pt>
                <c:pt idx="81">
                  <c:v>13150</c:v>
                </c:pt>
                <c:pt idx="82">
                  <c:v>13300</c:v>
                </c:pt>
                <c:pt idx="83">
                  <c:v>13450</c:v>
                </c:pt>
                <c:pt idx="84">
                  <c:v>13600</c:v>
                </c:pt>
                <c:pt idx="85">
                  <c:v>13750</c:v>
                </c:pt>
                <c:pt idx="86">
                  <c:v>13900</c:v>
                </c:pt>
                <c:pt idx="87">
                  <c:v>14050</c:v>
                </c:pt>
                <c:pt idx="88">
                  <c:v>14200</c:v>
                </c:pt>
                <c:pt idx="89">
                  <c:v>14350</c:v>
                </c:pt>
                <c:pt idx="90">
                  <c:v>14500</c:v>
                </c:pt>
                <c:pt idx="91">
                  <c:v>14650</c:v>
                </c:pt>
                <c:pt idx="92">
                  <c:v>14800</c:v>
                </c:pt>
                <c:pt idx="93">
                  <c:v>14950</c:v>
                </c:pt>
                <c:pt idx="94">
                  <c:v>15100</c:v>
                </c:pt>
                <c:pt idx="95">
                  <c:v>15250</c:v>
                </c:pt>
                <c:pt idx="96">
                  <c:v>15400</c:v>
                </c:pt>
                <c:pt idx="97">
                  <c:v>15550</c:v>
                </c:pt>
                <c:pt idx="98">
                  <c:v>15700</c:v>
                </c:pt>
                <c:pt idx="99">
                  <c:v>15850</c:v>
                </c:pt>
                <c:pt idx="100">
                  <c:v>16000</c:v>
                </c:pt>
                <c:pt idx="101">
                  <c:v>16150</c:v>
                </c:pt>
                <c:pt idx="102">
                  <c:v>16300</c:v>
                </c:pt>
                <c:pt idx="103">
                  <c:v>16450</c:v>
                </c:pt>
                <c:pt idx="104">
                  <c:v>16600</c:v>
                </c:pt>
                <c:pt idx="105">
                  <c:v>16750</c:v>
                </c:pt>
                <c:pt idx="106">
                  <c:v>16900</c:v>
                </c:pt>
                <c:pt idx="107">
                  <c:v>17050</c:v>
                </c:pt>
                <c:pt idx="108">
                  <c:v>17200</c:v>
                </c:pt>
                <c:pt idx="109">
                  <c:v>17350</c:v>
                </c:pt>
                <c:pt idx="110">
                  <c:v>17500</c:v>
                </c:pt>
                <c:pt idx="111">
                  <c:v>17650</c:v>
                </c:pt>
                <c:pt idx="112">
                  <c:v>17800</c:v>
                </c:pt>
                <c:pt idx="113">
                  <c:v>17950</c:v>
                </c:pt>
                <c:pt idx="114">
                  <c:v>18100</c:v>
                </c:pt>
                <c:pt idx="115">
                  <c:v>18250</c:v>
                </c:pt>
                <c:pt idx="116">
                  <c:v>18400</c:v>
                </c:pt>
                <c:pt idx="117">
                  <c:v>18550</c:v>
                </c:pt>
                <c:pt idx="118">
                  <c:v>18700</c:v>
                </c:pt>
                <c:pt idx="119">
                  <c:v>18850</c:v>
                </c:pt>
                <c:pt idx="120">
                  <c:v>19000</c:v>
                </c:pt>
                <c:pt idx="121">
                  <c:v>19150</c:v>
                </c:pt>
                <c:pt idx="122">
                  <c:v>19300</c:v>
                </c:pt>
                <c:pt idx="123">
                  <c:v>19450</c:v>
                </c:pt>
                <c:pt idx="124">
                  <c:v>19600</c:v>
                </c:pt>
                <c:pt idx="125">
                  <c:v>19750</c:v>
                </c:pt>
                <c:pt idx="126">
                  <c:v>19900</c:v>
                </c:pt>
                <c:pt idx="127">
                  <c:v>20050</c:v>
                </c:pt>
                <c:pt idx="128">
                  <c:v>20200</c:v>
                </c:pt>
                <c:pt idx="129">
                  <c:v>20350</c:v>
                </c:pt>
                <c:pt idx="130">
                  <c:v>20500</c:v>
                </c:pt>
                <c:pt idx="131">
                  <c:v>20650</c:v>
                </c:pt>
                <c:pt idx="132">
                  <c:v>20800</c:v>
                </c:pt>
                <c:pt idx="133">
                  <c:v>20950</c:v>
                </c:pt>
                <c:pt idx="134">
                  <c:v>21100</c:v>
                </c:pt>
                <c:pt idx="135">
                  <c:v>21250</c:v>
                </c:pt>
                <c:pt idx="136">
                  <c:v>21400</c:v>
                </c:pt>
                <c:pt idx="137">
                  <c:v>21550</c:v>
                </c:pt>
                <c:pt idx="138">
                  <c:v>21700</c:v>
                </c:pt>
                <c:pt idx="139">
                  <c:v>21850</c:v>
                </c:pt>
                <c:pt idx="140">
                  <c:v>22000</c:v>
                </c:pt>
                <c:pt idx="141">
                  <c:v>22150</c:v>
                </c:pt>
                <c:pt idx="142">
                  <c:v>22300</c:v>
                </c:pt>
                <c:pt idx="143">
                  <c:v>22450</c:v>
                </c:pt>
                <c:pt idx="144">
                  <c:v>22600</c:v>
                </c:pt>
                <c:pt idx="145">
                  <c:v>22750</c:v>
                </c:pt>
                <c:pt idx="146">
                  <c:v>22900</c:v>
                </c:pt>
                <c:pt idx="147">
                  <c:v>23050</c:v>
                </c:pt>
                <c:pt idx="148">
                  <c:v>23200</c:v>
                </c:pt>
                <c:pt idx="149">
                  <c:v>23350</c:v>
                </c:pt>
                <c:pt idx="150">
                  <c:v>23500</c:v>
                </c:pt>
                <c:pt idx="151">
                  <c:v>23650</c:v>
                </c:pt>
                <c:pt idx="152">
                  <c:v>23800</c:v>
                </c:pt>
                <c:pt idx="153">
                  <c:v>23950</c:v>
                </c:pt>
                <c:pt idx="154">
                  <c:v>24100</c:v>
                </c:pt>
                <c:pt idx="155">
                  <c:v>24250</c:v>
                </c:pt>
                <c:pt idx="156">
                  <c:v>24400</c:v>
                </c:pt>
                <c:pt idx="157">
                  <c:v>24550</c:v>
                </c:pt>
                <c:pt idx="158">
                  <c:v>24700</c:v>
                </c:pt>
                <c:pt idx="159">
                  <c:v>24850</c:v>
                </c:pt>
                <c:pt idx="160">
                  <c:v>25000</c:v>
                </c:pt>
                <c:pt idx="161">
                  <c:v>25150</c:v>
                </c:pt>
                <c:pt idx="162">
                  <c:v>25300</c:v>
                </c:pt>
                <c:pt idx="163">
                  <c:v>25450</c:v>
                </c:pt>
                <c:pt idx="164">
                  <c:v>25600</c:v>
                </c:pt>
                <c:pt idx="165">
                  <c:v>25750</c:v>
                </c:pt>
                <c:pt idx="166">
                  <c:v>25900</c:v>
                </c:pt>
                <c:pt idx="167">
                  <c:v>26050</c:v>
                </c:pt>
                <c:pt idx="168">
                  <c:v>26200</c:v>
                </c:pt>
                <c:pt idx="169">
                  <c:v>26350</c:v>
                </c:pt>
                <c:pt idx="170">
                  <c:v>26500</c:v>
                </c:pt>
                <c:pt idx="171">
                  <c:v>26650</c:v>
                </c:pt>
                <c:pt idx="172">
                  <c:v>26800</c:v>
                </c:pt>
                <c:pt idx="173">
                  <c:v>26950</c:v>
                </c:pt>
                <c:pt idx="174">
                  <c:v>27100</c:v>
                </c:pt>
                <c:pt idx="175">
                  <c:v>27250</c:v>
                </c:pt>
                <c:pt idx="176">
                  <c:v>27400</c:v>
                </c:pt>
                <c:pt idx="177">
                  <c:v>27550</c:v>
                </c:pt>
                <c:pt idx="178">
                  <c:v>27700</c:v>
                </c:pt>
                <c:pt idx="179">
                  <c:v>27850</c:v>
                </c:pt>
                <c:pt idx="180">
                  <c:v>28000</c:v>
                </c:pt>
                <c:pt idx="181">
                  <c:v>28150</c:v>
                </c:pt>
                <c:pt idx="182">
                  <c:v>28300</c:v>
                </c:pt>
                <c:pt idx="183">
                  <c:v>28450</c:v>
                </c:pt>
                <c:pt idx="184">
                  <c:v>28600</c:v>
                </c:pt>
                <c:pt idx="185">
                  <c:v>28750</c:v>
                </c:pt>
                <c:pt idx="186">
                  <c:v>28900</c:v>
                </c:pt>
                <c:pt idx="187">
                  <c:v>29050</c:v>
                </c:pt>
                <c:pt idx="188">
                  <c:v>29200</c:v>
                </c:pt>
                <c:pt idx="189">
                  <c:v>29350</c:v>
                </c:pt>
                <c:pt idx="190">
                  <c:v>29500</c:v>
                </c:pt>
                <c:pt idx="191">
                  <c:v>29650</c:v>
                </c:pt>
                <c:pt idx="192">
                  <c:v>29800</c:v>
                </c:pt>
                <c:pt idx="193">
                  <c:v>29950</c:v>
                </c:pt>
                <c:pt idx="194">
                  <c:v>30100</c:v>
                </c:pt>
                <c:pt idx="195">
                  <c:v>30250</c:v>
                </c:pt>
                <c:pt idx="196">
                  <c:v>30400</c:v>
                </c:pt>
                <c:pt idx="197">
                  <c:v>30550</c:v>
                </c:pt>
                <c:pt idx="198">
                  <c:v>30700</c:v>
                </c:pt>
                <c:pt idx="199">
                  <c:v>30850</c:v>
                </c:pt>
                <c:pt idx="200">
                  <c:v>31000</c:v>
                </c:pt>
                <c:pt idx="201">
                  <c:v>31150</c:v>
                </c:pt>
                <c:pt idx="202">
                  <c:v>31300</c:v>
                </c:pt>
                <c:pt idx="203">
                  <c:v>31450</c:v>
                </c:pt>
                <c:pt idx="204">
                  <c:v>31600</c:v>
                </c:pt>
                <c:pt idx="205">
                  <c:v>31750</c:v>
                </c:pt>
                <c:pt idx="206">
                  <c:v>31900</c:v>
                </c:pt>
                <c:pt idx="207">
                  <c:v>32050</c:v>
                </c:pt>
                <c:pt idx="208">
                  <c:v>32200</c:v>
                </c:pt>
                <c:pt idx="209">
                  <c:v>32350</c:v>
                </c:pt>
                <c:pt idx="210">
                  <c:v>32500</c:v>
                </c:pt>
                <c:pt idx="211">
                  <c:v>32650</c:v>
                </c:pt>
                <c:pt idx="212">
                  <c:v>32800</c:v>
                </c:pt>
                <c:pt idx="213">
                  <c:v>32950</c:v>
                </c:pt>
                <c:pt idx="214">
                  <c:v>33100</c:v>
                </c:pt>
                <c:pt idx="215">
                  <c:v>33250</c:v>
                </c:pt>
                <c:pt idx="216">
                  <c:v>33400</c:v>
                </c:pt>
                <c:pt idx="217">
                  <c:v>33550</c:v>
                </c:pt>
                <c:pt idx="218">
                  <c:v>33700</c:v>
                </c:pt>
                <c:pt idx="219">
                  <c:v>33850</c:v>
                </c:pt>
                <c:pt idx="220">
                  <c:v>34000</c:v>
                </c:pt>
                <c:pt idx="221">
                  <c:v>34150</c:v>
                </c:pt>
                <c:pt idx="222">
                  <c:v>34300</c:v>
                </c:pt>
                <c:pt idx="223">
                  <c:v>34450</c:v>
                </c:pt>
                <c:pt idx="224">
                  <c:v>34600</c:v>
                </c:pt>
                <c:pt idx="225">
                  <c:v>34750</c:v>
                </c:pt>
                <c:pt idx="226">
                  <c:v>34900</c:v>
                </c:pt>
                <c:pt idx="227">
                  <c:v>35050</c:v>
                </c:pt>
                <c:pt idx="228">
                  <c:v>35200</c:v>
                </c:pt>
                <c:pt idx="229">
                  <c:v>35350</c:v>
                </c:pt>
                <c:pt idx="230">
                  <c:v>35500</c:v>
                </c:pt>
                <c:pt idx="231">
                  <c:v>35650</c:v>
                </c:pt>
                <c:pt idx="232">
                  <c:v>35800</c:v>
                </c:pt>
                <c:pt idx="233">
                  <c:v>35950</c:v>
                </c:pt>
                <c:pt idx="234">
                  <c:v>36100</c:v>
                </c:pt>
                <c:pt idx="235">
                  <c:v>36250</c:v>
                </c:pt>
                <c:pt idx="236">
                  <c:v>36400</c:v>
                </c:pt>
                <c:pt idx="237">
                  <c:v>36550</c:v>
                </c:pt>
                <c:pt idx="238">
                  <c:v>36700</c:v>
                </c:pt>
                <c:pt idx="239">
                  <c:v>36850</c:v>
                </c:pt>
                <c:pt idx="240">
                  <c:v>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79-4B17-A2AF-B3F803C3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€</a:t>
                </a:r>
              </a:p>
            </c:rich>
          </c:tx>
          <c:layout>
            <c:manualLayout>
              <c:xMode val="edge"/>
              <c:yMode val="edge"/>
              <c:x val="6.8306010928961746E-3"/>
              <c:y val="0.4445586632285769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5A982F-63C1-46D6-B60B-18B1274A5C5C}">
  <sheetPr/>
  <sheetViews>
    <sheetView zoomScale="95" workbookViewId="0" zoomToFit="1"/>
  </sheetViews>
  <pageMargins left="0.7" right="0.7" top="0.75" bottom="0.75" header="0.3" footer="0.3"/>
  <headerFooter>
    <oddFooter>&amp;L_x000D_&amp;1#&amp;"Aptos"&amp;10&amp;K008000 Confidential -C2- Internal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24388" cy="760056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3A1DCE-BEA2-F13F-725B-B9986BA2C9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25.21875" bestFit="1" customWidth="1"/>
    <col min="2" max="2" width="44.5546875" bestFit="1" customWidth="1"/>
    <col min="3" max="3" width="44.44140625" bestFit="1" customWidth="1"/>
    <col min="4" max="4" width="26.109375" bestFit="1" customWidth="1"/>
  </cols>
  <sheetData>
    <row r="1" spans="1:4" x14ac:dyDescent="0.3">
      <c r="A1" t="s">
        <v>0</v>
      </c>
      <c r="B1" t="str">
        <f>_xlfn.CONCAT("Contrat gestion libre géré par CGP - rendement ",B2*100,"%")</f>
        <v>Contrat gestion libre géré par CGP - rendement 5%</v>
      </c>
      <c r="C1" t="str">
        <f>_xlfn.CONCAT("Contrat gestion piloté BoursoBank - rendement ",C2*100,"%")</f>
        <v>Contrat gestion piloté BoursoBank - rendement 5%</v>
      </c>
      <c r="D1" t="s">
        <v>8</v>
      </c>
    </row>
    <row r="2" spans="1:4" x14ac:dyDescent="0.3">
      <c r="A2" t="s">
        <v>9</v>
      </c>
      <c r="B2" s="2">
        <v>0.05</v>
      </c>
      <c r="C2" s="4">
        <f>B2</f>
        <v>0.05</v>
      </c>
      <c r="D2" s="2">
        <v>0</v>
      </c>
    </row>
    <row r="3" spans="1:4" x14ac:dyDescent="0.3">
      <c r="A3" t="s">
        <v>1</v>
      </c>
      <c r="B3">
        <v>1000</v>
      </c>
      <c r="C3" s="3">
        <f>B3</f>
        <v>1000</v>
      </c>
      <c r="D3">
        <v>1000</v>
      </c>
    </row>
    <row r="4" spans="1:4" x14ac:dyDescent="0.3">
      <c r="A4" t="s">
        <v>2</v>
      </c>
      <c r="B4" s="2">
        <v>4.8000000000000001E-2</v>
      </c>
      <c r="C4" s="1">
        <v>0</v>
      </c>
      <c r="D4" s="2">
        <v>0</v>
      </c>
    </row>
    <row r="5" spans="1:4" x14ac:dyDescent="0.3">
      <c r="A5" t="s">
        <v>3</v>
      </c>
      <c r="B5">
        <v>150</v>
      </c>
      <c r="C5" s="3">
        <f>B5</f>
        <v>150</v>
      </c>
      <c r="D5">
        <v>150</v>
      </c>
    </row>
    <row r="6" spans="1:4" x14ac:dyDescent="0.3">
      <c r="A6" t="s">
        <v>4</v>
      </c>
      <c r="B6" s="2">
        <v>4.8000000000000001E-2</v>
      </c>
      <c r="C6" s="1">
        <v>0</v>
      </c>
      <c r="D6" s="2">
        <v>0</v>
      </c>
    </row>
    <row r="7" spans="1:4" x14ac:dyDescent="0.3">
      <c r="A7" t="s">
        <v>5</v>
      </c>
      <c r="B7" s="2">
        <v>0.01</v>
      </c>
      <c r="C7" s="2">
        <v>2.3E-2</v>
      </c>
      <c r="D7" s="2">
        <v>0</v>
      </c>
    </row>
  </sheetData>
  <pageMargins left="0.75" right="0.75" top="1" bottom="1" header="0.5" footer="0.5"/>
  <headerFooter>
    <oddFooter>&amp;L_x000D_&amp;1#&amp;"Aptos"&amp;10&amp;K008000 Confidential -C2-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2"/>
  <sheetViews>
    <sheetView topLeftCell="A211" workbookViewId="0">
      <selection activeCell="C2" sqref="C2:D242"/>
    </sheetView>
  </sheetViews>
  <sheetFormatPr baseColWidth="10" defaultColWidth="8.88671875" defaultRowHeight="14.4" x14ac:dyDescent="0.3"/>
  <sheetData>
    <row r="1" spans="1:4" x14ac:dyDescent="0.3">
      <c r="A1" t="s">
        <v>6</v>
      </c>
      <c r="B1" t="str">
        <f>Paramètres!B1</f>
        <v>Contrat gestion libre géré par CGP - rendement 5%</v>
      </c>
      <c r="C1" t="str">
        <f>Paramètres!C1</f>
        <v>Contrat gestion piloté BoursoBank - rendement 5%</v>
      </c>
      <c r="D1" t="str">
        <f>Paramètres!D1</f>
        <v>Placement sur compte courant</v>
      </c>
    </row>
    <row r="2" spans="1:4" x14ac:dyDescent="0.3">
      <c r="A2">
        <v>0</v>
      </c>
      <c r="B2">
        <f>Paramètres!B3*(1-Paramètres!B4)</f>
        <v>952</v>
      </c>
      <c r="C2">
        <f>Paramètres!C3*(1-Paramètres!C4)</f>
        <v>1000</v>
      </c>
      <c r="D2">
        <f>Paramètres!D3*(1-Paramètres!D4)</f>
        <v>1000</v>
      </c>
    </row>
    <row r="3" spans="1:4" x14ac:dyDescent="0.3">
      <c r="A3">
        <v>1</v>
      </c>
      <c r="B3">
        <f>(B2+Paramètres!B$5*(1-Paramètres!B$4))*POWER(1+Paramètres!B$2,1/12)*(1-Paramètres!B$7/12)</f>
        <v>1098.344300426073</v>
      </c>
      <c r="C3">
        <f>(C2+Paramètres!C$5*(1-Paramètres!C$4))*POWER(1+Paramètres!C$2,1/12)*(1-Paramètres!C$7/12)</f>
        <v>1152.4720956366893</v>
      </c>
      <c r="D3">
        <f>(D2+Paramètres!D$5*(1-Paramètres!D$4))*POWER(1+Paramètres!D$2,1/12)*(1-Paramètres!D$7/12)</f>
        <v>1150</v>
      </c>
    </row>
    <row r="4" spans="1:4" x14ac:dyDescent="0.3">
      <c r="A4">
        <v>2</v>
      </c>
      <c r="B4">
        <f>(B3+Paramètres!B$5*(1-Paramètres!B$4))*POWER(1+Paramètres!B$2,1/12)*(1-Paramètres!B$7/12)</f>
        <v>1245.162375209429</v>
      </c>
      <c r="C4">
        <f>(C3+Paramètres!C$5*(1-Paramètres!C$4))*POWER(1+Paramètres!C$2,1/12)*(1-Paramètres!C$7/12)</f>
        <v>1305.2719526667179</v>
      </c>
      <c r="D4">
        <f>(D3+Paramètres!D$5*(1-Paramètres!D$4))*POWER(1+Paramètres!D$2,1/12)*(1-Paramètres!D$7/12)</f>
        <v>1300</v>
      </c>
    </row>
    <row r="5" spans="1:4" x14ac:dyDescent="0.3">
      <c r="A5">
        <v>3</v>
      </c>
      <c r="B5">
        <f>(B4+Paramètres!B$5*(1-Paramètres!B$4))*POWER(1+Paramètres!B$2,1/12)*(1-Paramètres!B$7/12)</f>
        <v>1392.4557581449678</v>
      </c>
      <c r="C5">
        <f>(C4+Paramètres!C$5*(1-Paramètres!C$4))*POWER(1+Paramètres!C$2,1/12)*(1-Paramètres!C$7/12)</f>
        <v>1458.4002756618338</v>
      </c>
      <c r="D5">
        <f>(D4+Paramètres!D$5*(1-Paramètres!D$4))*POWER(1+Paramètres!D$2,1/12)*(1-Paramètres!D$7/12)</f>
        <v>1450</v>
      </c>
    </row>
    <row r="6" spans="1:4" x14ac:dyDescent="0.3">
      <c r="A6">
        <v>4</v>
      </c>
      <c r="B6">
        <f>(B5+Paramètres!B$5*(1-Paramètres!B$4))*POWER(1+Paramètres!B$2,1/12)*(1-Paramètres!B$7/12)</f>
        <v>1540.22598799309</v>
      </c>
      <c r="C6">
        <f>(C5+Paramètres!C$5*(1-Paramètres!C$4))*POWER(1+Paramètres!C$2,1/12)*(1-Paramètres!C$7/12)</f>
        <v>1611.8577707083671</v>
      </c>
      <c r="D6">
        <f>(D5+Paramètres!D$5*(1-Paramètres!D$4))*POWER(1+Paramètres!D$2,1/12)*(1-Paramètres!D$7/12)</f>
        <v>1600</v>
      </c>
    </row>
    <row r="7" spans="1:4" x14ac:dyDescent="0.3">
      <c r="A7">
        <v>5</v>
      </c>
      <c r="B7">
        <f>(B6+Paramètres!B$5*(1-Paramètres!B$4))*POWER(1+Paramètres!B$2,1/12)*(1-Paramètres!B$7/12)</f>
        <v>1688.4746084957715</v>
      </c>
      <c r="C7">
        <f>(C6+Paramètres!C$5*(1-Paramètres!C$4))*POWER(1+Paramètres!C$2,1/12)*(1-Paramètres!C$7/12)</f>
        <v>1765.6451454104845</v>
      </c>
      <c r="D7">
        <f>(D6+Paramètres!D$5*(1-Paramètres!D$4))*POWER(1+Paramètres!D$2,1/12)*(1-Paramètres!D$7/12)</f>
        <v>1750</v>
      </c>
    </row>
    <row r="8" spans="1:4" x14ac:dyDescent="0.3">
      <c r="A8">
        <v>6</v>
      </c>
      <c r="B8">
        <f>(B7+Paramètres!B$5*(1-Paramètres!B$4))*POWER(1+Paramètres!B$2,1/12)*(1-Paramètres!B$7/12)</f>
        <v>1837.2031683926916</v>
      </c>
      <c r="C8">
        <f>(C7+Paramètres!C$5*(1-Paramètres!C$4))*POWER(1+Paramètres!C$2,1/12)*(1-Paramètres!C$7/12)</f>
        <v>1919.7631088934531</v>
      </c>
      <c r="D8">
        <f>(D7+Paramètres!D$5*(1-Paramètres!D$4))*POWER(1+Paramètres!D$2,1/12)*(1-Paramètres!D$7/12)</f>
        <v>1900</v>
      </c>
    </row>
    <row r="9" spans="1:4" x14ac:dyDescent="0.3">
      <c r="A9">
        <v>7</v>
      </c>
      <c r="B9">
        <f>(B8+Paramètres!B$5*(1-Paramètres!B$4))*POWER(1+Paramètres!B$2,1/12)*(1-Paramètres!B$7/12)</f>
        <v>1986.4132214374122</v>
      </c>
      <c r="C9">
        <f>(C8+Paramètres!C$5*(1-Paramètres!C$4))*POWER(1+Paramètres!C$2,1/12)*(1-Paramètres!C$7/12)</f>
        <v>2074.2123718069106</v>
      </c>
      <c r="D9">
        <f>(D8+Paramètres!D$5*(1-Paramètres!D$4))*POWER(1+Paramètres!D$2,1/12)*(1-Paramètres!D$7/12)</f>
        <v>2050</v>
      </c>
    </row>
    <row r="10" spans="1:4" x14ac:dyDescent="0.3">
      <c r="A10">
        <v>8</v>
      </c>
      <c r="B10">
        <f>(B9+Paramètres!B$5*(1-Paramètres!B$4))*POWER(1+Paramètres!B$2,1/12)*(1-Paramètres!B$7/12)</f>
        <v>2136.1063264136096</v>
      </c>
      <c r="C10">
        <f>(C9+Paramètres!C$5*(1-Paramètres!C$4))*POWER(1+Paramètres!C$2,1/12)*(1-Paramètres!C$7/12)</f>
        <v>2228.9936463281401</v>
      </c>
      <c r="D10">
        <f>(D9+Paramètres!D$5*(1-Paramètres!D$4))*POWER(1+Paramètres!D$2,1/12)*(1-Paramètres!D$7/12)</f>
        <v>2200</v>
      </c>
    </row>
    <row r="11" spans="1:4" x14ac:dyDescent="0.3">
      <c r="A11">
        <v>9</v>
      </c>
      <c r="B11">
        <f>(B10+Paramètres!B$5*(1-Paramètres!B$4))*POWER(1+Paramètres!B$2,1/12)*(1-Paramètres!B$7/12)</f>
        <v>2286.2840471513591</v>
      </c>
      <c r="C11">
        <f>(C10+Paramètres!C$5*(1-Paramètres!C$4))*POWER(1+Paramètres!C$2,1/12)*(1-Paramètres!C$7/12)</f>
        <v>2384.1076461653565</v>
      </c>
      <c r="D11">
        <f>(D10+Paramètres!D$5*(1-Paramètres!D$4))*POWER(1+Paramètres!D$2,1/12)*(1-Paramètres!D$7/12)</f>
        <v>2350</v>
      </c>
    </row>
    <row r="12" spans="1:4" x14ac:dyDescent="0.3">
      <c r="A12">
        <v>10</v>
      </c>
      <c r="B12">
        <f>(B11+Paramètres!B$5*(1-Paramètres!B$4))*POWER(1+Paramètres!B$2,1/12)*(1-Paramètres!B$7/12)</f>
        <v>2436.9479525434722</v>
      </c>
      <c r="C12">
        <f>(C11+Paramètres!C$5*(1-Paramètres!C$4))*POWER(1+Paramètres!C$2,1/12)*(1-Paramètres!C$7/12)</f>
        <v>2539.5550865609962</v>
      </c>
      <c r="D12">
        <f>(D11+Paramètres!D$5*(1-Paramètres!D$4))*POWER(1+Paramètres!D$2,1/12)*(1-Paramètres!D$7/12)</f>
        <v>2500</v>
      </c>
    </row>
    <row r="13" spans="1:4" x14ac:dyDescent="0.3">
      <c r="A13">
        <v>11</v>
      </c>
      <c r="B13">
        <f>(B12+Paramètres!B$5*(1-Paramètres!B$4))*POWER(1+Paramètres!B$2,1/12)*(1-Paramètres!B$7/12)</f>
        <v>2588.0996165618872</v>
      </c>
      <c r="C13">
        <f>(C12+Paramètres!C$5*(1-Paramètres!C$4))*POWER(1+Paramètres!C$2,1/12)*(1-Paramètres!C$7/12)</f>
        <v>2695.3366842950159</v>
      </c>
      <c r="D13">
        <f>(D12+Paramètres!D$5*(1-Paramètres!D$4))*POWER(1+Paramètres!D$2,1/12)*(1-Paramètres!D$7/12)</f>
        <v>2650</v>
      </c>
    </row>
    <row r="14" spans="1:4" x14ac:dyDescent="0.3">
      <c r="A14">
        <v>12</v>
      </c>
      <c r="B14">
        <f>(B13+Paramètres!B$5*(1-Paramètres!B$4))*POWER(1+Paramètres!B$2,1/12)*(1-Paramètres!B$7/12)</f>
        <v>2739.7406182741115</v>
      </c>
      <c r="C14">
        <f>(C13+Paramètres!C$5*(1-Paramètres!C$4))*POWER(1+Paramètres!C$2,1/12)*(1-Paramètres!C$7/12)</f>
        <v>2851.4531576881959</v>
      </c>
      <c r="D14">
        <f>(D13+Paramètres!D$5*(1-Paramètres!D$4))*POWER(1+Paramètres!D$2,1/12)*(1-Paramètres!D$7/12)</f>
        <v>2800</v>
      </c>
    </row>
    <row r="15" spans="1:4" x14ac:dyDescent="0.3">
      <c r="A15">
        <v>13</v>
      </c>
      <c r="B15">
        <f>(B14+Paramètres!B$5*(1-Paramètres!B$4))*POWER(1+Paramètres!B$2,1/12)*(1-Paramètres!B$7/12)</f>
        <v>2891.8725418597178</v>
      </c>
      <c r="C15">
        <f>(C14+Paramètres!C$5*(1-Paramètres!C$4))*POWER(1+Paramètres!C$2,1/12)*(1-Paramètres!C$7/12)</f>
        <v>3007.905226605455</v>
      </c>
      <c r="D15">
        <f>(D14+Paramètres!D$5*(1-Paramètres!D$4))*POWER(1+Paramètres!D$2,1/12)*(1-Paramètres!D$7/12)</f>
        <v>2950</v>
      </c>
    </row>
    <row r="16" spans="1:4" x14ac:dyDescent="0.3">
      <c r="A16">
        <v>14</v>
      </c>
      <c r="B16">
        <f>(B15+Paramètres!B$5*(1-Paramètres!B$4))*POWER(1+Paramètres!B$2,1/12)*(1-Paramètres!B$7/12)</f>
        <v>3044.4969766268946</v>
      </c>
      <c r="C16">
        <f>(C15+Paramètres!C$5*(1-Paramètres!C$4))*POWER(1+Paramètres!C$2,1/12)*(1-Paramètres!C$7/12)</f>
        <v>3164.6936124591671</v>
      </c>
      <c r="D16">
        <f>(D15+Paramètres!D$5*(1-Paramètres!D$4))*POWER(1+Paramètres!D$2,1/12)*(1-Paramètres!D$7/12)</f>
        <v>3100</v>
      </c>
    </row>
    <row r="17" spans="1:4" x14ac:dyDescent="0.3">
      <c r="A17">
        <v>15</v>
      </c>
      <c r="B17">
        <f>(B16+Paramètres!B$5*(1-Paramètres!B$4))*POWER(1+Paramètres!B$2,1/12)*(1-Paramètres!B$7/12)</f>
        <v>3197.6155170290504</v>
      </c>
      <c r="C17">
        <f>(C16+Paramètres!C$5*(1-Paramètres!C$4))*POWER(1+Paramètres!C$2,1/12)*(1-Paramètres!C$7/12)</f>
        <v>3321.8190382124899</v>
      </c>
      <c r="D17">
        <f>(D16+Paramètres!D$5*(1-Paramètres!D$4))*POWER(1+Paramètres!D$2,1/12)*(1-Paramètres!D$7/12)</f>
        <v>3250</v>
      </c>
    </row>
    <row r="18" spans="1:4" x14ac:dyDescent="0.3">
      <c r="A18">
        <v>16</v>
      </c>
      <c r="B18">
        <f>(B17+Paramètres!B$5*(1-Paramètres!B$4))*POWER(1+Paramètres!B$2,1/12)*(1-Paramètres!B$7/12)</f>
        <v>3351.2297626814679</v>
      </c>
      <c r="C18">
        <f>(C17+Paramètres!C$5*(1-Paramètres!C$4))*POWER(1+Paramètres!C$2,1/12)*(1-Paramètres!C$7/12)</f>
        <v>3479.2822283826981</v>
      </c>
      <c r="D18">
        <f>(D17+Paramètres!D$5*(1-Paramètres!D$4))*POWER(1+Paramètres!D$2,1/12)*(1-Paramètres!D$7/12)</f>
        <v>3400</v>
      </c>
    </row>
    <row r="19" spans="1:4" x14ac:dyDescent="0.3">
      <c r="A19">
        <v>17</v>
      </c>
      <c r="B19">
        <f>(B18+Paramètres!B$5*(1-Paramètres!B$4))*POWER(1+Paramètres!B$2,1/12)*(1-Paramètres!B$7/12)</f>
        <v>3505.3413183780185</v>
      </c>
      <c r="C19">
        <f>(C18+Paramètres!C$5*(1-Paramètres!C$4))*POWER(1+Paramètres!C$2,1/12)*(1-Paramètres!C$7/12)</f>
        <v>3637.0839090445224</v>
      </c>
      <c r="D19">
        <f>(D18+Paramètres!D$5*(1-Paramètres!D$4))*POWER(1+Paramètres!D$2,1/12)*(1-Paramètres!D$7/12)</f>
        <v>3550</v>
      </c>
    </row>
    <row r="20" spans="1:4" x14ac:dyDescent="0.3">
      <c r="A20">
        <v>18</v>
      </c>
      <c r="B20">
        <f>(B19+Paramètres!B$5*(1-Paramètres!B$4))*POWER(1+Paramètres!B$2,1/12)*(1-Paramètres!B$7/12)</f>
        <v>3659.9517941079248</v>
      </c>
      <c r="C20">
        <f>(C19+Paramètres!C$5*(1-Paramètres!C$4))*POWER(1+Paramètres!C$2,1/12)*(1-Paramètres!C$7/12)</f>
        <v>3795.2248078335006</v>
      </c>
      <c r="D20">
        <f>(D19+Paramètres!D$5*(1-Paramètres!D$4))*POWER(1+Paramètres!D$2,1/12)*(1-Paramètres!D$7/12)</f>
        <v>3700</v>
      </c>
    </row>
    <row r="21" spans="1:4" x14ac:dyDescent="0.3">
      <c r="A21">
        <v>19</v>
      </c>
      <c r="B21">
        <f>(B20+Paramètres!B$5*(1-Paramètres!B$4))*POWER(1+Paramètres!B$2,1/12)*(1-Paramètres!B$7/12)</f>
        <v>3815.0628050725818</v>
      </c>
      <c r="C21">
        <f>(C20+Paramètres!C$5*(1-Paramètres!C$4))*POWER(1+Paramètres!C$2,1/12)*(1-Paramètres!C$7/12)</f>
        <v>3953.7056539493292</v>
      </c>
      <c r="D21">
        <f>(D20+Paramètres!D$5*(1-Paramètres!D$4))*POWER(1+Paramètres!D$2,1/12)*(1-Paramètres!D$7/12)</f>
        <v>3850</v>
      </c>
    </row>
    <row r="22" spans="1:4" x14ac:dyDescent="0.3">
      <c r="A22">
        <v>20</v>
      </c>
      <c r="B22">
        <f>(B21+Paramètres!B$5*(1-Paramètres!B$4))*POWER(1+Paramètres!B$2,1/12)*(1-Paramètres!B$7/12)</f>
        <v>3970.6759717024293</v>
      </c>
      <c r="C22">
        <f>(C21+Paramètres!C$5*(1-Paramètres!C$4))*POWER(1+Paramètres!C$2,1/12)*(1-Paramètres!C$7/12)</f>
        <v>4112.5271781592292</v>
      </c>
      <c r="D22">
        <f>(D21+Paramètres!D$5*(1-Paramètres!D$4))*POWER(1+Paramètres!D$2,1/12)*(1-Paramètres!D$7/12)</f>
        <v>4000</v>
      </c>
    </row>
    <row r="23" spans="1:4" x14ac:dyDescent="0.3">
      <c r="A23">
        <v>21</v>
      </c>
      <c r="B23">
        <f>(B22+Paramètres!B$5*(1-Paramètres!B$4))*POWER(1+Paramètres!B$2,1/12)*(1-Paramètres!B$7/12)</f>
        <v>4126.7929196738805</v>
      </c>
      <c r="C23">
        <f>(C22+Paramètres!C$5*(1-Paramètres!C$4))*POWER(1+Paramètres!C$2,1/12)*(1-Paramètres!C$7/12)</f>
        <v>4271.6901128013133</v>
      </c>
      <c r="D23">
        <f>(D22+Paramètres!D$5*(1-Paramètres!D$4))*POWER(1+Paramètres!D$2,1/12)*(1-Paramètres!D$7/12)</f>
        <v>4150</v>
      </c>
    </row>
    <row r="24" spans="1:4" x14ac:dyDescent="0.3">
      <c r="A24">
        <v>22</v>
      </c>
      <c r="B24">
        <f>(B23+Paramètres!B$5*(1-Paramètres!B$4))*POWER(1+Paramètres!B$2,1/12)*(1-Paramètres!B$7/12)</f>
        <v>4283.4152799263084</v>
      </c>
      <c r="C24">
        <f>(C23+Paramètres!C$5*(1-Paramètres!C$4))*POWER(1+Paramètres!C$2,1/12)*(1-Paramètres!C$7/12)</f>
        <v>4431.1951917879633</v>
      </c>
      <c r="D24">
        <f>(D23+Paramètres!D$5*(1-Paramètres!D$4))*POWER(1+Paramètres!D$2,1/12)*(1-Paramètres!D$7/12)</f>
        <v>4300</v>
      </c>
    </row>
    <row r="25" spans="1:4" x14ac:dyDescent="0.3">
      <c r="A25">
        <v>23</v>
      </c>
      <c r="B25">
        <f>(B24+Paramètres!B$5*(1-Paramètres!B$4))*POWER(1+Paramètres!B$2,1/12)*(1-Paramètres!B$7/12)</f>
        <v>4440.5446886790787</v>
      </c>
      <c r="C25">
        <f>(C24+Paramètres!C$5*(1-Paramètres!C$4))*POWER(1+Paramètres!C$2,1/12)*(1-Paramètres!C$7/12)</f>
        <v>4591.0431506092164</v>
      </c>
      <c r="D25">
        <f>(D24+Paramètres!D$5*(1-Paramètres!D$4))*POWER(1+Paramètres!D$2,1/12)*(1-Paramètres!D$7/12)</f>
        <v>4450</v>
      </c>
    </row>
    <row r="26" spans="1:4" x14ac:dyDescent="0.3">
      <c r="A26">
        <v>24</v>
      </c>
      <c r="B26">
        <f>(B25+Paramètres!B$5*(1-Paramètres!B$4))*POWER(1+Paramètres!B$2,1/12)*(1-Paramètres!B$7/12)</f>
        <v>4598.182787448648</v>
      </c>
      <c r="C26">
        <f>(C25+Paramètres!C$5*(1-Paramètres!C$4))*POWER(1+Paramètres!C$2,1/12)*(1-Paramètres!C$7/12)</f>
        <v>4751.2347263361526</v>
      </c>
      <c r="D26">
        <f>(D25+Paramètres!D$5*(1-Paramètres!D$4))*POWER(1+Paramètres!D$2,1/12)*(1-Paramètres!D$7/12)</f>
        <v>4600</v>
      </c>
    </row>
    <row r="27" spans="1:4" x14ac:dyDescent="0.3">
      <c r="A27">
        <v>25</v>
      </c>
      <c r="B27">
        <f>(B26+Paramètres!B$5*(1-Paramètres!B$4))*POWER(1+Paramètres!B$2,1/12)*(1-Paramètres!B$7/12)</f>
        <v>4756.3312230657093</v>
      </c>
      <c r="C27">
        <f>(C26+Paramètres!C$5*(1-Paramètres!C$4))*POWER(1+Paramètres!C$2,1/12)*(1-Paramètres!C$7/12)</f>
        <v>4911.7706576242963</v>
      </c>
      <c r="D27">
        <f>(D26+Paramètres!D$5*(1-Paramètres!D$4))*POWER(1+Paramètres!D$2,1/12)*(1-Paramètres!D$7/12)</f>
        <v>4750</v>
      </c>
    </row>
    <row r="28" spans="1:4" x14ac:dyDescent="0.3">
      <c r="A28">
        <v>26</v>
      </c>
      <c r="B28">
        <f>(B27+Paramètres!B$5*(1-Paramètres!B$4))*POWER(1+Paramètres!B$2,1/12)*(1-Paramètres!B$7/12)</f>
        <v>4914.9916476923991</v>
      </c>
      <c r="C28">
        <f>(C27+Paramètres!C$5*(1-Paramètres!C$4))*POWER(1+Paramètres!C$2,1/12)*(1-Paramètres!C$7/12)</f>
        <v>5072.6516847170215</v>
      </c>
      <c r="D28">
        <f>(D27+Paramètres!D$5*(1-Paramètres!D$4))*POWER(1+Paramètres!D$2,1/12)*(1-Paramètres!D$7/12)</f>
        <v>4900</v>
      </c>
    </row>
    <row r="29" spans="1:4" x14ac:dyDescent="0.3">
      <c r="A29">
        <v>27</v>
      </c>
      <c r="B29">
        <f>(B28+Paramètres!B$5*(1-Paramètres!B$4))*POWER(1+Paramètres!B$2,1/12)*(1-Paramètres!B$7/12)</f>
        <v>5074.1657188395529</v>
      </c>
      <c r="C29">
        <f>(C28+Paramètres!C$5*(1-Paramètres!C$4))*POWER(1+Paramètres!C$2,1/12)*(1-Paramètres!C$7/12)</f>
        <v>5233.8785494489657</v>
      </c>
      <c r="D29">
        <f>(D28+Paramètres!D$5*(1-Paramètres!D$4))*POWER(1+Paramètres!D$2,1/12)*(1-Paramètres!D$7/12)</f>
        <v>5050</v>
      </c>
    </row>
    <row r="30" spans="1:4" x14ac:dyDescent="0.3">
      <c r="A30">
        <v>28</v>
      </c>
      <c r="B30">
        <f>(B29+Paramètres!B$5*(1-Paramètres!B$4))*POWER(1+Paramètres!B$2,1/12)*(1-Paramètres!B$7/12)</f>
        <v>5233.8550993840272</v>
      </c>
      <c r="C30">
        <f>(C29+Paramètres!C$5*(1-Paramètres!C$4))*POWER(1+Paramètres!C$2,1/12)*(1-Paramètres!C$7/12)</f>
        <v>5395.4519952494502</v>
      </c>
      <c r="D30">
        <f>(D29+Paramètres!D$5*(1-Paramètres!D$4))*POWER(1+Paramètres!D$2,1/12)*(1-Paramètres!D$7/12)</f>
        <v>5200</v>
      </c>
    </row>
    <row r="31" spans="1:4" x14ac:dyDescent="0.3">
      <c r="A31">
        <v>29</v>
      </c>
      <c r="B31">
        <f>(B30+Paramètres!B$5*(1-Paramètres!B$4))*POWER(1+Paramètres!B$2,1/12)*(1-Paramètres!B$7/12)</f>
        <v>5394.0614575860682</v>
      </c>
      <c r="C31">
        <f>(C30+Paramètres!C$5*(1-Paramètres!C$4))*POWER(1+Paramètres!C$2,1/12)*(1-Paramètres!C$7/12)</f>
        <v>5557.3727671459073</v>
      </c>
      <c r="D31">
        <f>(D30+Paramètres!D$5*(1-Paramètres!D$4))*POWER(1+Paramètres!D$2,1/12)*(1-Paramètres!D$7/12)</f>
        <v>5350</v>
      </c>
    </row>
    <row r="32" spans="1:4" x14ac:dyDescent="0.3">
      <c r="A32">
        <v>30</v>
      </c>
      <c r="B32">
        <f>(B31+Paramètres!B$5*(1-Paramètres!B$4))*POWER(1+Paramètres!B$2,1/12)*(1-Paramètres!B$7/12)</f>
        <v>5554.7864671067373</v>
      </c>
      <c r="C32">
        <f>(C31+Paramètres!C$5*(1-Paramètres!C$4))*POWER(1+Paramètres!C$2,1/12)*(1-Paramètres!C$7/12)</f>
        <v>5719.6416117673152</v>
      </c>
      <c r="D32">
        <f>(D31+Paramètres!D$5*(1-Paramètres!D$4))*POWER(1+Paramètres!D$2,1/12)*(1-Paramètres!D$7/12)</f>
        <v>5500</v>
      </c>
    </row>
    <row r="33" spans="1:4" x14ac:dyDescent="0.3">
      <c r="A33">
        <v>31</v>
      </c>
      <c r="B33">
        <f>(B32+Paramètres!B$5*(1-Paramètres!B$4))*POWER(1+Paramètres!B$2,1/12)*(1-Paramètres!B$7/12)</f>
        <v>5716.0318070254016</v>
      </c>
      <c r="C33">
        <f>(C32+Paramètres!C$5*(1-Paramètres!C$4))*POWER(1+Paramètres!C$2,1/12)*(1-Paramètres!C$7/12)</f>
        <v>5882.2592773476445</v>
      </c>
      <c r="D33">
        <f>(D32+Paramètres!D$5*(1-Paramètres!D$4))*POWER(1+Paramètres!D$2,1/12)*(1-Paramètres!D$7/12)</f>
        <v>5650</v>
      </c>
    </row>
    <row r="34" spans="1:4" x14ac:dyDescent="0.3">
      <c r="A34">
        <v>32</v>
      </c>
      <c r="B34">
        <f>(B33+Paramètres!B$5*(1-Paramètres!B$4))*POWER(1+Paramètres!B$2,1/12)*(1-Paramètres!B$7/12)</f>
        <v>5877.7991618572705</v>
      </c>
      <c r="C34">
        <f>(C33+Paramètres!C$5*(1-Paramètres!C$4))*POWER(1+Paramètres!C$2,1/12)*(1-Paramètres!C$7/12)</f>
        <v>6045.2265137293043</v>
      </c>
      <c r="D34">
        <f>(D33+Paramètres!D$5*(1-Paramètres!D$4))*POWER(1+Paramètres!D$2,1/12)*(1-Paramètres!D$7/12)</f>
        <v>5800</v>
      </c>
    </row>
    <row r="35" spans="1:4" x14ac:dyDescent="0.3">
      <c r="A35">
        <v>33</v>
      </c>
      <c r="B35">
        <f>(B34+Paramètres!B$5*(1-Paramètres!B$4))*POWER(1+Paramètres!B$2,1/12)*(1-Paramètres!B$7/12)</f>
        <v>6040.0902215709948</v>
      </c>
      <c r="C35">
        <f>(C34+Paramètres!C$5*(1-Paramètres!C$4))*POWER(1+Paramètres!C$2,1/12)*(1-Paramètres!C$7/12)</f>
        <v>6208.5440723666006</v>
      </c>
      <c r="D35">
        <f>(D34+Paramètres!D$5*(1-Paramètres!D$4))*POWER(1+Paramètres!D$2,1/12)*(1-Paramètres!D$7/12)</f>
        <v>5950</v>
      </c>
    </row>
    <row r="36" spans="1:4" x14ac:dyDescent="0.3">
      <c r="A36">
        <v>34</v>
      </c>
      <c r="B36">
        <f>(B35+Paramètres!B$5*(1-Paramètres!B$4))*POWER(1+Paramètres!B$2,1/12)*(1-Paramètres!B$7/12)</f>
        <v>6202.9066816063223</v>
      </c>
      <c r="C36">
        <f>(C35+Paramètres!C$5*(1-Paramètres!C$4))*POWER(1+Paramètres!C$2,1/12)*(1-Paramètres!C$7/12)</f>
        <v>6372.2127063292037</v>
      </c>
      <c r="D36">
        <f>(D35+Paramètres!D$5*(1-Paramètres!D$4))*POWER(1+Paramètres!D$2,1/12)*(1-Paramètres!D$7/12)</f>
        <v>6100</v>
      </c>
    </row>
    <row r="37" spans="1:4" x14ac:dyDescent="0.3">
      <c r="A37">
        <v>35</v>
      </c>
      <c r="B37">
        <f>(B36+Paramètres!B$5*(1-Paramètres!B$4))*POWER(1+Paramètres!B$2,1/12)*(1-Paramètres!B$7/12)</f>
        <v>6366.2502428918087</v>
      </c>
      <c r="C37">
        <f>(C36+Paramètres!C$5*(1-Paramètres!C$4))*POWER(1+Paramètres!C$2,1/12)*(1-Paramètres!C$7/12)</f>
        <v>6536.2331703056161</v>
      </c>
      <c r="D37">
        <f>(D36+Paramètres!D$5*(1-Paramètres!D$4))*POWER(1+Paramètres!D$2,1/12)*(1-Paramètres!D$7/12)</f>
        <v>6250</v>
      </c>
    </row>
    <row r="38" spans="1:4" x14ac:dyDescent="0.3">
      <c r="A38">
        <v>36</v>
      </c>
      <c r="B38">
        <f>(B37+Paramètres!B$5*(1-Paramètres!B$4))*POWER(1+Paramètres!B$2,1/12)*(1-Paramètres!B$7/12)</f>
        <v>6530.1226118625909</v>
      </c>
      <c r="C38">
        <f>(C37+Paramètres!C$5*(1-Paramètres!C$4))*POWER(1+Paramètres!C$2,1/12)*(1-Paramètres!C$7/12)</f>
        <v>6700.6062206066581</v>
      </c>
      <c r="D38">
        <f>(D37+Paramètres!D$5*(1-Paramètres!D$4))*POWER(1+Paramètres!D$2,1/12)*(1-Paramètres!D$7/12)</f>
        <v>6400</v>
      </c>
    </row>
    <row r="39" spans="1:4" x14ac:dyDescent="0.3">
      <c r="A39">
        <v>37</v>
      </c>
      <c r="B39">
        <f>(B38+Paramètres!B$5*(1-Paramètres!B$4))*POWER(1+Paramètres!B$2,1/12)*(1-Paramètres!B$7/12)</f>
        <v>6694.5255004782075</v>
      </c>
      <c r="C39">
        <f>(C38+Paramètres!C$5*(1-Paramètres!C$4))*POWER(1+Paramètres!C$2,1/12)*(1-Paramètres!C$7/12)</f>
        <v>6865.3326151689507</v>
      </c>
      <c r="D39">
        <f>(D38+Paramètres!D$5*(1-Paramètres!D$4))*POWER(1+Paramètres!D$2,1/12)*(1-Paramètres!D$7/12)</f>
        <v>6550</v>
      </c>
    </row>
    <row r="40" spans="1:4" x14ac:dyDescent="0.3">
      <c r="A40">
        <v>38</v>
      </c>
      <c r="B40">
        <f>(B39+Paramètres!B$5*(1-Paramètres!B$4))*POWER(1+Paramètres!B$2,1/12)*(1-Paramètres!B$7/12)</f>
        <v>6859.4606262404877</v>
      </c>
      <c r="C40">
        <f>(C39+Paramètres!C$5*(1-Paramètres!C$4))*POWER(1+Paramètres!C$2,1/12)*(1-Paramètres!C$7/12)</f>
        <v>7030.4131135584139</v>
      </c>
      <c r="D40">
        <f>(D39+Paramètres!D$5*(1-Paramètres!D$4))*POWER(1+Paramètres!D$2,1/12)*(1-Paramètres!D$7/12)</f>
        <v>6700</v>
      </c>
    </row>
    <row r="41" spans="1:4" x14ac:dyDescent="0.3">
      <c r="A41">
        <v>39</v>
      </c>
      <c r="B41">
        <f>(B40+Paramètres!B$5*(1-Paramètres!B$4))*POWER(1+Paramètres!B$2,1/12)*(1-Paramètres!B$7/12)</f>
        <v>7024.929712211494</v>
      </c>
      <c r="C41">
        <f>(C40+Paramètres!C$5*(1-Paramètres!C$4))*POWER(1+Paramètres!C$2,1/12)*(1-Paramètres!C$7/12)</f>
        <v>7195.8484769737643</v>
      </c>
      <c r="D41">
        <f>(D40+Paramètres!D$5*(1-Paramètres!D$4))*POWER(1+Paramètres!D$2,1/12)*(1-Paramètres!D$7/12)</f>
        <v>6850</v>
      </c>
    </row>
    <row r="42" spans="1:4" x14ac:dyDescent="0.3">
      <c r="A42">
        <v>40</v>
      </c>
      <c r="B42">
        <f>(B41+Paramètres!B$5*(1-Paramètres!B$4))*POWER(1+Paramètres!B$2,1/12)*(1-Paramètres!B$7/12)</f>
        <v>7190.9344870315217</v>
      </c>
      <c r="C42">
        <f>(C41+Paramètres!C$5*(1-Paramètres!C$4))*POWER(1+Paramètres!C$2,1/12)*(1-Paramètres!C$7/12)</f>
        <v>7361.6394682500313</v>
      </c>
      <c r="D42">
        <f>(D41+Paramètres!D$5*(1-Paramètres!D$4))*POWER(1+Paramètres!D$2,1/12)*(1-Paramètres!D$7/12)</f>
        <v>7000</v>
      </c>
    </row>
    <row r="43" spans="1:4" x14ac:dyDescent="0.3">
      <c r="A43">
        <v>41</v>
      </c>
      <c r="B43">
        <f>(B42+Paramètres!B$5*(1-Paramètres!B$4))*POWER(1+Paramètres!B$2,1/12)*(1-Paramètres!B$7/12)</f>
        <v>7357.476684937159</v>
      </c>
      <c r="C43">
        <f>(C42+Paramètres!C$5*(1-Paramètres!C$4))*POWER(1+Paramètres!C$2,1/12)*(1-Paramètres!C$7/12)</f>
        <v>7527.786851862068</v>
      </c>
      <c r="D43">
        <f>(D42+Paramètres!D$5*(1-Paramètres!D$4))*POWER(1+Paramètres!D$2,1/12)*(1-Paramètres!D$7/12)</f>
        <v>7150</v>
      </c>
    </row>
    <row r="44" spans="1:4" x14ac:dyDescent="0.3">
      <c r="A44">
        <v>42</v>
      </c>
      <c r="B44">
        <f>(B43+Paramètres!B$5*(1-Paramètres!B$4))*POWER(1+Paramètres!B$2,1/12)*(1-Paramètres!B$7/12)</f>
        <v>7524.5580457794022</v>
      </c>
      <c r="C44">
        <f>(C43+Paramètres!C$5*(1-Paramètres!C$4))*POWER(1+Paramètres!C$2,1/12)*(1-Paramètres!C$7/12)</f>
        <v>7694.2913939280834</v>
      </c>
      <c r="D44">
        <f>(D43+Paramètres!D$5*(1-Paramètres!D$4))*POWER(1+Paramètres!D$2,1/12)*(1-Paramètres!D$7/12)</f>
        <v>7300</v>
      </c>
    </row>
    <row r="45" spans="1:4" x14ac:dyDescent="0.3">
      <c r="A45">
        <v>43</v>
      </c>
      <c r="B45">
        <f>(B44+Paramètres!B$5*(1-Paramètres!B$4))*POWER(1+Paramètres!B$2,1/12)*(1-Paramètres!B$7/12)</f>
        <v>7692.1803150418327</v>
      </c>
      <c r="C45">
        <f>(C44+Paramètres!C$5*(1-Paramètres!C$4))*POWER(1+Paramètres!C$2,1/12)*(1-Paramètres!C$7/12)</f>
        <v>7861.1538622131684</v>
      </c>
      <c r="D45">
        <f>(D44+Paramètres!D$5*(1-Paramètres!D$4))*POWER(1+Paramètres!D$2,1/12)*(1-Paramètres!D$7/12)</f>
        <v>7450</v>
      </c>
    </row>
    <row r="46" spans="1:4" x14ac:dyDescent="0.3">
      <c r="A46">
        <v>44</v>
      </c>
      <c r="B46">
        <f>(B45+Paramètres!B$5*(1-Paramètres!B$4))*POWER(1+Paramètres!B$2,1/12)*(1-Paramètres!B$7/12)</f>
        <v>7860.3452438588547</v>
      </c>
      <c r="C46">
        <f>(C45+Paramètres!C$5*(1-Paramètres!C$4))*POWER(1+Paramètres!C$2,1/12)*(1-Paramètres!C$7/12)</f>
        <v>8028.3750261328405</v>
      </c>
      <c r="D46">
        <f>(D45+Paramètres!D$5*(1-Paramètres!D$4))*POWER(1+Paramètres!D$2,1/12)*(1-Paramètres!D$7/12)</f>
        <v>7600</v>
      </c>
    </row>
    <row r="47" spans="1:4" x14ac:dyDescent="0.3">
      <c r="A47">
        <v>45</v>
      </c>
      <c r="B47">
        <f>(B46+Paramètres!B$5*(1-Paramètres!B$4))*POWER(1+Paramètres!B$2,1/12)*(1-Paramètres!B$7/12)</f>
        <v>8029.0545890339845</v>
      </c>
      <c r="C47">
        <f>(C46+Paramètres!C$5*(1-Paramètres!C$4))*POWER(1+Paramètres!C$2,1/12)*(1-Paramètres!C$7/12)</f>
        <v>8195.9556567565887</v>
      </c>
      <c r="D47">
        <f>(D46+Paramètres!D$5*(1-Paramètres!D$4))*POWER(1+Paramètres!D$2,1/12)*(1-Paramètres!D$7/12)</f>
        <v>7750</v>
      </c>
    </row>
    <row r="48" spans="1:4" x14ac:dyDescent="0.3">
      <c r="A48">
        <v>46</v>
      </c>
      <c r="B48">
        <f>(B47+Paramètres!B$5*(1-Paramètres!B$4))*POWER(1+Paramètres!B$2,1/12)*(1-Paramètres!B$7/12)</f>
        <v>8198.3101130582072</v>
      </c>
      <c r="C48">
        <f>(C47+Paramètres!C$5*(1-Paramètres!C$4))*POWER(1+Paramètres!C$2,1/12)*(1-Paramètres!C$7/12)</f>
        <v>8363.8965268114298</v>
      </c>
      <c r="D48">
        <f>(D47+Paramètres!D$5*(1-Paramètres!D$4))*POWER(1+Paramètres!D$2,1/12)*(1-Paramètres!D$7/12)</f>
        <v>7900</v>
      </c>
    </row>
    <row r="49" spans="1:4" x14ac:dyDescent="0.3">
      <c r="A49">
        <v>47</v>
      </c>
      <c r="B49">
        <f>(B48+Paramètres!B$5*(1-Paramètres!B$4))*POWER(1+Paramètres!B$2,1/12)*(1-Paramètres!B$7/12)</f>
        <v>8368.1135841283867</v>
      </c>
      <c r="C49">
        <f>(C48+Paramètres!C$5*(1-Paramètres!C$4))*POWER(1+Paramètres!C$2,1/12)*(1-Paramètres!C$7/12)</f>
        <v>8532.1984106854761</v>
      </c>
      <c r="D49">
        <f>(D48+Paramètres!D$5*(1-Paramètres!D$4))*POWER(1+Paramètres!D$2,1/12)*(1-Paramètres!D$7/12)</f>
        <v>8050</v>
      </c>
    </row>
    <row r="50" spans="1:4" x14ac:dyDescent="0.3">
      <c r="A50">
        <v>48</v>
      </c>
      <c r="B50">
        <f>(B49+Paramètres!B$5*(1-Paramètres!B$4))*POWER(1+Paramètres!B$2,1/12)*(1-Paramètres!B$7/12)</f>
        <v>8538.4667761657402</v>
      </c>
      <c r="C50">
        <f>(C49+Paramètres!C$5*(1-Paramètres!C$4))*POWER(1+Paramètres!C$2,1/12)*(1-Paramètres!C$7/12)</f>
        <v>8700.8620844314992</v>
      </c>
      <c r="D50">
        <f>(D49+Paramètres!D$5*(1-Paramètres!D$4))*POWER(1+Paramètres!D$2,1/12)*(1-Paramètres!D$7/12)</f>
        <v>8200</v>
      </c>
    </row>
    <row r="51" spans="1:4" x14ac:dyDescent="0.3">
      <c r="A51">
        <v>49</v>
      </c>
      <c r="B51">
        <f>(B50+Paramètres!B$5*(1-Paramètres!B$4))*POWER(1+Paramètres!B$2,1/12)*(1-Paramètres!B$7/12)</f>
        <v>8709.3714688343698</v>
      </c>
      <c r="C51">
        <f>(C50+Paramètres!C$5*(1-Paramètres!C$4))*POWER(1+Paramètres!C$2,1/12)*(1-Paramètres!C$7/12)</f>
        <v>8869.8883257705093</v>
      </c>
      <c r="D51">
        <f>(D50+Paramètres!D$5*(1-Paramètres!D$4))*POWER(1+Paramètres!D$2,1/12)*(1-Paramètres!D$7/12)</f>
        <v>8350</v>
      </c>
    </row>
    <row r="52" spans="1:4" x14ac:dyDescent="0.3">
      <c r="A52">
        <v>50</v>
      </c>
      <c r="B52">
        <f>(B51+Paramètres!B$5*(1-Paramètres!B$4))*POWER(1+Paramètres!B$2,1/12)*(1-Paramètres!B$7/12)</f>
        <v>8880.8294475598541</v>
      </c>
      <c r="C52">
        <f>(C51+Paramètres!C$5*(1-Paramètres!C$4))*POWER(1+Paramètres!C$2,1/12)*(1-Paramètres!C$7/12)</f>
        <v>9039.2779140953444</v>
      </c>
      <c r="D52">
        <f>(D51+Paramètres!D$5*(1-Paramètres!D$4))*POWER(1+Paramètres!D$2,1/12)*(1-Paramètres!D$7/12)</f>
        <v>8500</v>
      </c>
    </row>
    <row r="53" spans="1:4" x14ac:dyDescent="0.3">
      <c r="A53">
        <v>51</v>
      </c>
      <c r="B53">
        <f>(B52+Paramètres!B$5*(1-Paramètres!B$4))*POWER(1+Paramètres!B$2,1/12)*(1-Paramètres!B$7/12)</f>
        <v>9052.8425035478976</v>
      </c>
      <c r="C53">
        <f>(C52+Paramètres!C$5*(1-Paramètres!C$4))*POWER(1+Paramètres!C$2,1/12)*(1-Paramètres!C$7/12)</f>
        <v>9209.0316304742646</v>
      </c>
      <c r="D53">
        <f>(D52+Paramètres!D$5*(1-Paramètres!D$4))*POWER(1+Paramètres!D$2,1/12)*(1-Paramètres!D$7/12)</f>
        <v>8650</v>
      </c>
    </row>
    <row r="54" spans="1:4" x14ac:dyDescent="0.3">
      <c r="A54">
        <v>52</v>
      </c>
      <c r="B54">
        <f>(B53+Paramètres!B$5*(1-Paramètres!B$4))*POWER(1+Paramètres!B$2,1/12)*(1-Paramètres!B$7/12)</f>
        <v>9225.4124338030488</v>
      </c>
      <c r="C54">
        <f>(C53+Paramètres!C$5*(1-Paramètres!C$4))*POWER(1+Paramètres!C$2,1/12)*(1-Paramètres!C$7/12)</f>
        <v>9379.1502576545518</v>
      </c>
      <c r="D54">
        <f>(D53+Paramètres!D$5*(1-Paramètres!D$4))*POWER(1+Paramètres!D$2,1/12)*(1-Paramètres!D$7/12)</f>
        <v>8800</v>
      </c>
    </row>
    <row r="55" spans="1:4" x14ac:dyDescent="0.3">
      <c r="A55">
        <v>53</v>
      </c>
      <c r="B55">
        <f>(B54+Paramètres!B$5*(1-Paramètres!B$4))*POWER(1+Paramètres!B$2,1/12)*(1-Paramètres!B$7/12)</f>
        <v>9398.5410411474659</v>
      </c>
      <c r="C55">
        <f>(C54+Paramètres!C$5*(1-Paramètres!C$4))*POWER(1+Paramètres!C$2,1/12)*(1-Paramètres!C$7/12)</f>
        <v>9549.6345800661202</v>
      </c>
      <c r="D55">
        <f>(D54+Paramètres!D$5*(1-Paramètres!D$4))*POWER(1+Paramètres!D$2,1/12)*(1-Paramètres!D$7/12)</f>
        <v>8950</v>
      </c>
    </row>
    <row r="56" spans="1:4" x14ac:dyDescent="0.3">
      <c r="A56">
        <v>54</v>
      </c>
      <c r="B56">
        <f>(B55+Paramètres!B$5*(1-Paramètres!B$4))*POWER(1+Paramètres!B$2,1/12)*(1-Paramètres!B$7/12)</f>
        <v>9572.2301342397604</v>
      </c>
      <c r="C56">
        <f>(C55+Paramètres!C$5*(1-Paramètres!C$4))*POWER(1+Paramètres!C$2,1/12)*(1-Paramètres!C$7/12)</f>
        <v>9720.4853838251292</v>
      </c>
      <c r="D56">
        <f>(D55+Paramètres!D$5*(1-Paramètres!D$4))*POWER(1+Paramètres!D$2,1/12)*(1-Paramètres!D$7/12)</f>
        <v>9100</v>
      </c>
    </row>
    <row r="57" spans="1:4" x14ac:dyDescent="0.3">
      <c r="A57">
        <v>55</v>
      </c>
      <c r="B57">
        <f>(B56+Paramètres!B$5*(1-Paramètres!B$4))*POWER(1+Paramètres!B$2,1/12)*(1-Paramètres!B$7/12)</f>
        <v>9746.4815275938872</v>
      </c>
      <c r="C57">
        <f>(C56+Paramètres!C$5*(1-Paramètres!C$4))*POWER(1+Paramètres!C$2,1/12)*(1-Paramètres!C$7/12)</f>
        <v>9891.703456737614</v>
      </c>
      <c r="D57">
        <f>(D56+Paramètres!D$5*(1-Paramètres!D$4))*POWER(1+Paramètres!D$2,1/12)*(1-Paramètres!D$7/12)</f>
        <v>9250</v>
      </c>
    </row>
    <row r="58" spans="1:4" x14ac:dyDescent="0.3">
      <c r="A58">
        <v>56</v>
      </c>
      <c r="B58">
        <f>(B57+Paramètres!B$5*(1-Paramètres!B$4))*POWER(1+Paramètres!B$2,1/12)*(1-Paramètres!B$7/12)</f>
        <v>9921.2970415980944</v>
      </c>
      <c r="C58">
        <f>(C57+Paramètres!C$5*(1-Paramètres!C$4))*POWER(1+Paramètres!C$2,1/12)*(1-Paramètres!C$7/12)</f>
        <v>10063.289588303116</v>
      </c>
      <c r="D58">
        <f>(D57+Paramètres!D$5*(1-Paramètres!D$4))*POWER(1+Paramètres!D$2,1/12)*(1-Paramètres!D$7/12)</f>
        <v>9400</v>
      </c>
    </row>
    <row r="59" spans="1:4" x14ac:dyDescent="0.3">
      <c r="A59">
        <v>57</v>
      </c>
      <c r="B59">
        <f>(B58+Paramètres!B$5*(1-Paramètres!B$4))*POWER(1+Paramètres!B$2,1/12)*(1-Paramètres!B$7/12)</f>
        <v>10096.67850253395</v>
      </c>
      <c r="C59">
        <f>(C58+Paramètres!C$5*(1-Paramètres!C$4))*POWER(1+Paramètres!C$2,1/12)*(1-Paramètres!C$7/12)</f>
        <v>10235.244569718323</v>
      </c>
      <c r="D59">
        <f>(D58+Paramètres!D$5*(1-Paramètres!D$4))*POWER(1+Paramètres!D$2,1/12)*(1-Paramètres!D$7/12)</f>
        <v>9550</v>
      </c>
    </row>
    <row r="60" spans="1:4" x14ac:dyDescent="0.3">
      <c r="A60">
        <v>58</v>
      </c>
      <c r="B60">
        <f>(B59+Paramètres!B$5*(1-Paramètres!B$4))*POWER(1+Paramètres!B$2,1/12)*(1-Paramètres!B$7/12)</f>
        <v>10272.627742595419</v>
      </c>
      <c r="C60">
        <f>(C59+Paramètres!C$5*(1-Paramètres!C$4))*POWER(1+Paramètres!C$2,1/12)*(1-Paramètres!C$7/12)</f>
        <v>10407.569193880714</v>
      </c>
      <c r="D60">
        <f>(D59+Paramètres!D$5*(1-Paramètres!D$4))*POWER(1+Paramètres!D$2,1/12)*(1-Paramètres!D$7/12)</f>
        <v>9700</v>
      </c>
    </row>
    <row r="61" spans="1:4" x14ac:dyDescent="0.3">
      <c r="A61">
        <v>59</v>
      </c>
      <c r="B61">
        <f>(B60+Paramètres!B$5*(1-Paramètres!B$4))*POWER(1+Paramètres!B$2,1/12)*(1-Paramètres!B$7/12)</f>
        <v>10449.146599907997</v>
      </c>
      <c r="C61">
        <f>(C60+Paramètres!C$5*(1-Paramètres!C$4))*POWER(1+Paramètres!C$2,1/12)*(1-Paramètres!C$7/12)</f>
        <v>10580.264255392223</v>
      </c>
      <c r="D61">
        <f>(D60+Paramètres!D$5*(1-Paramètres!D$4))*POWER(1+Paramètres!D$2,1/12)*(1-Paramètres!D$7/12)</f>
        <v>9850</v>
      </c>
    </row>
    <row r="62" spans="1:4" x14ac:dyDescent="0.3">
      <c r="A62">
        <v>60</v>
      </c>
      <c r="B62">
        <f>(B61+Paramètres!B$5*(1-Paramètres!B$4))*POWER(1+Paramètres!B$2,1/12)*(1-Paramètres!B$7/12)</f>
        <v>10626.236918547926</v>
      </c>
      <c r="C62">
        <f>(C61+Paramètres!C$5*(1-Paramètres!C$4))*POWER(1+Paramètres!C$2,1/12)*(1-Paramètres!C$7/12)</f>
        <v>10753.3305505629</v>
      </c>
      <c r="D62">
        <f>(D61+Paramètres!D$5*(1-Paramètres!D$4))*POWER(1+Paramètres!D$2,1/12)*(1-Paramètres!D$7/12)</f>
        <v>10000</v>
      </c>
    </row>
    <row r="63" spans="1:4" x14ac:dyDescent="0.3">
      <c r="A63">
        <v>61</v>
      </c>
      <c r="B63">
        <f>(B62+Paramètres!B$5*(1-Paramètres!B$4))*POWER(1+Paramètres!B$2,1/12)*(1-Paramètres!B$7/12)</f>
        <v>10803.900548561447</v>
      </c>
      <c r="C63">
        <f>(C62+Paramètres!C$5*(1-Paramètres!C$4))*POWER(1+Paramètres!C$2,1/12)*(1-Paramètres!C$7/12)</f>
        <v>10926.768877414574</v>
      </c>
      <c r="D63">
        <f>(D62+Paramètres!D$5*(1-Paramètres!D$4))*POWER(1+Paramètres!D$2,1/12)*(1-Paramètres!D$7/12)</f>
        <v>10150</v>
      </c>
    </row>
    <row r="64" spans="1:4" x14ac:dyDescent="0.3">
      <c r="A64">
        <v>62</v>
      </c>
      <c r="B64">
        <f>(B63+Paramètres!B$5*(1-Paramètres!B$4))*POWER(1+Paramètres!B$2,1/12)*(1-Paramètres!B$7/12)</f>
        <v>10982.139345984135</v>
      </c>
      <c r="C64">
        <f>(C63+Paramètres!C$5*(1-Paramètres!C$4))*POWER(1+Paramètres!C$2,1/12)*(1-Paramètres!C$7/12)</f>
        <v>11100.580035684548</v>
      </c>
      <c r="D64">
        <f>(D63+Paramètres!D$5*(1-Paramètres!D$4))*POWER(1+Paramètres!D$2,1/12)*(1-Paramètres!D$7/12)</f>
        <v>10300</v>
      </c>
    </row>
    <row r="65" spans="1:4" x14ac:dyDescent="0.3">
      <c r="A65">
        <v>63</v>
      </c>
      <c r="B65">
        <f>(B64+Paramètres!B$5*(1-Paramètres!B$4))*POWER(1+Paramètres!B$2,1/12)*(1-Paramètres!B$7/12)</f>
        <v>11160.955172860282</v>
      </c>
      <c r="C65">
        <f>(C64+Paramètres!C$5*(1-Paramètres!C$4))*POWER(1+Paramètres!C$2,1/12)*(1-Paramètres!C$7/12)</f>
        <v>11274.764826829276</v>
      </c>
      <c r="D65">
        <f>(D64+Paramètres!D$5*(1-Paramètres!D$4))*POWER(1+Paramètres!D$2,1/12)*(1-Paramètres!D$7/12)</f>
        <v>10450</v>
      </c>
    </row>
    <row r="66" spans="1:4" x14ac:dyDescent="0.3">
      <c r="A66">
        <v>64</v>
      </c>
      <c r="B66">
        <f>(B65+Paramètres!B$5*(1-Paramètres!B$4))*POWER(1+Paramètres!B$2,1/12)*(1-Paramètres!B$7/12)</f>
        <v>11340.349897262357</v>
      </c>
      <c r="C66">
        <f>(C65+Paramètres!C$5*(1-Paramètres!C$4))*POWER(1+Paramètres!C$2,1/12)*(1-Paramètres!C$7/12)</f>
        <v>11449.324054028062</v>
      </c>
      <c r="D66">
        <f>(D65+Paramètres!D$5*(1-Paramètres!D$4))*POWER(1+Paramètres!D$2,1/12)*(1-Paramètres!D$7/12)</f>
        <v>10600</v>
      </c>
    </row>
    <row r="67" spans="1:4" x14ac:dyDescent="0.3">
      <c r="A67">
        <v>65</v>
      </c>
      <c r="B67">
        <f>(B66+Paramètres!B$5*(1-Paramètres!B$4))*POWER(1+Paramètres!B$2,1/12)*(1-Paramètres!B$7/12)</f>
        <v>11520.325393310517</v>
      </c>
      <c r="C67">
        <f>(C66+Paramètres!C$5*(1-Paramètres!C$4))*POWER(1+Paramètres!C$2,1/12)*(1-Paramètres!C$7/12)</f>
        <v>11624.258522186763</v>
      </c>
      <c r="D67">
        <f>(D66+Paramètres!D$5*(1-Paramètres!D$4))*POWER(1+Paramètres!D$2,1/12)*(1-Paramètres!D$7/12)</f>
        <v>10750</v>
      </c>
    </row>
    <row r="68" spans="1:4" x14ac:dyDescent="0.3">
      <c r="A68">
        <v>66</v>
      </c>
      <c r="B68">
        <f>(B67+Paramètres!B$5*(1-Paramètres!B$4))*POWER(1+Paramètres!B$2,1/12)*(1-Paramètres!B$7/12)</f>
        <v>11700.883541192186</v>
      </c>
      <c r="C68">
        <f>(C67+Paramètres!C$5*(1-Paramètres!C$4))*POWER(1+Paramètres!C$2,1/12)*(1-Paramètres!C$7/12)</f>
        <v>11799.569037941499</v>
      </c>
      <c r="D68">
        <f>(D67+Paramètres!D$5*(1-Paramètres!D$4))*POWER(1+Paramètres!D$2,1/12)*(1-Paramètres!D$7/12)</f>
        <v>10900</v>
      </c>
    </row>
    <row r="69" spans="1:4" x14ac:dyDescent="0.3">
      <c r="A69">
        <v>67</v>
      </c>
      <c r="B69">
        <f>(B68+Paramètres!B$5*(1-Paramètres!B$4))*POWER(1+Paramètres!B$2,1/12)*(1-Paramètres!B$7/12)</f>
        <v>11882.026227181699</v>
      </c>
      <c r="C69">
        <f>(C68+Paramètres!C$5*(1-Paramètres!C$4))*POWER(1+Paramètres!C$2,1/12)*(1-Paramètres!C$7/12)</f>
        <v>11975.256409662377</v>
      </c>
      <c r="D69">
        <f>(D68+Paramètres!D$5*(1-Paramètres!D$4))*POWER(1+Paramètres!D$2,1/12)*(1-Paramètres!D$7/12)</f>
        <v>11050</v>
      </c>
    </row>
    <row r="70" spans="1:4" x14ac:dyDescent="0.3">
      <c r="A70">
        <v>68</v>
      </c>
      <c r="B70">
        <f>(B69+Paramètres!B$5*(1-Paramètres!B$4))*POWER(1+Paramètres!B$2,1/12)*(1-Paramètres!B$7/12)</f>
        <v>12063.755343660008</v>
      </c>
      <c r="C70">
        <f>(C69+Paramètres!C$5*(1-Paramètres!C$4))*POWER(1+Paramètres!C$2,1/12)*(1-Paramètres!C$7/12)</f>
        <v>12151.321447457214</v>
      </c>
      <c r="D70">
        <f>(D69+Paramètres!D$5*(1-Paramètres!D$4))*POWER(1+Paramètres!D$2,1/12)*(1-Paramètres!D$7/12)</f>
        <v>11200</v>
      </c>
    </row>
    <row r="71" spans="1:4" x14ac:dyDescent="0.3">
      <c r="A71">
        <v>69</v>
      </c>
      <c r="B71">
        <f>(B70+Paramètres!B$5*(1-Paramètres!B$4))*POWER(1+Paramètres!B$2,1/12)*(1-Paramètres!B$7/12)</f>
        <v>12246.072789134449</v>
      </c>
      <c r="C71">
        <f>(C70+Paramètres!C$5*(1-Paramètres!C$4))*POWER(1+Paramètres!C$2,1/12)*(1-Paramètres!C$7/12)</f>
        <v>12327.764963175276</v>
      </c>
      <c r="D71">
        <f>(D70+Paramètres!D$5*(1-Paramètres!D$4))*POWER(1+Paramètres!D$2,1/12)*(1-Paramètres!D$7/12)</f>
        <v>11350</v>
      </c>
    </row>
    <row r="72" spans="1:4" x14ac:dyDescent="0.3">
      <c r="A72">
        <v>70</v>
      </c>
      <c r="B72">
        <f>(B71+Paramètres!B$5*(1-Paramètres!B$4))*POWER(1+Paramètres!B$2,1/12)*(1-Paramètres!B$7/12)</f>
        <v>12428.980468258575</v>
      </c>
      <c r="C72">
        <f>(C71+Paramètres!C$5*(1-Paramètres!C$4))*POWER(1+Paramètres!C$2,1/12)*(1-Paramètres!C$7/12)</f>
        <v>12504.587770411013</v>
      </c>
      <c r="D72">
        <f>(D71+Paramètres!D$5*(1-Paramètres!D$4))*POWER(1+Paramètres!D$2,1/12)*(1-Paramètres!D$7/12)</f>
        <v>11500</v>
      </c>
    </row>
    <row r="73" spans="1:4" x14ac:dyDescent="0.3">
      <c r="A73">
        <v>71</v>
      </c>
      <c r="B73">
        <f>(B72+Paramètres!B$5*(1-Paramètres!B$4))*POWER(1+Paramètres!B$2,1/12)*(1-Paramètres!B$7/12)</f>
        <v>12612.480291852056</v>
      </c>
      <c r="C73">
        <f>(C72+Paramètres!C$5*(1-Paramètres!C$4))*POWER(1+Paramètres!C$2,1/12)*(1-Paramètres!C$7/12)</f>
        <v>12681.790684507825</v>
      </c>
      <c r="D73">
        <f>(D72+Paramètres!D$5*(1-Paramètres!D$4))*POWER(1+Paramètres!D$2,1/12)*(1-Paramètres!D$7/12)</f>
        <v>11650</v>
      </c>
    </row>
    <row r="74" spans="1:4" x14ac:dyDescent="0.3">
      <c r="A74">
        <v>72</v>
      </c>
      <c r="B74">
        <f>(B73+Paramètres!B$5*(1-Paramètres!B$4))*POWER(1+Paramètres!B$2,1/12)*(1-Paramètres!B$7/12)</f>
        <v>12796.574176920643</v>
      </c>
      <c r="C74">
        <f>(C73+Paramètres!C$5*(1-Paramètres!C$4))*POWER(1+Paramètres!C$2,1/12)*(1-Paramètres!C$7/12)</f>
        <v>12859.374522561808</v>
      </c>
      <c r="D74">
        <f>(D73+Paramètres!D$5*(1-Paramètres!D$4))*POWER(1+Paramètres!D$2,1/12)*(1-Paramètres!D$7/12)</f>
        <v>11800</v>
      </c>
    </row>
    <row r="75" spans="1:4" x14ac:dyDescent="0.3">
      <c r="A75">
        <v>73</v>
      </c>
      <c r="B75">
        <f>(B74+Paramètres!B$5*(1-Paramètres!B$4))*POWER(1+Paramètres!B$2,1/12)*(1-Paramètres!B$7/12)</f>
        <v>12981.264046676193</v>
      </c>
      <c r="C75">
        <f>(C74+Paramètres!C$5*(1-Paramètres!C$4))*POWER(1+Paramètres!C$2,1/12)*(1-Paramètres!C$7/12)</f>
        <v>13037.340103425529</v>
      </c>
      <c r="D75">
        <f>(D74+Paramètres!D$5*(1-Paramètres!D$4))*POWER(1+Paramètres!D$2,1/12)*(1-Paramètres!D$7/12)</f>
        <v>11950</v>
      </c>
    </row>
    <row r="76" spans="1:4" x14ac:dyDescent="0.3">
      <c r="A76">
        <v>74</v>
      </c>
      <c r="B76">
        <f>(B75+Paramètres!B$5*(1-Paramètres!B$4))*POWER(1+Paramètres!B$2,1/12)*(1-Paramètres!B$7/12)</f>
        <v>13166.551830556757</v>
      </c>
      <c r="C76">
        <f>(C75+Paramètres!C$5*(1-Paramètres!C$4))*POWER(1+Paramètres!C$2,1/12)*(1-Paramètres!C$7/12)</f>
        <v>13215.688247711803</v>
      </c>
      <c r="D76">
        <f>(D75+Paramètres!D$5*(1-Paramètres!D$4))*POWER(1+Paramètres!D$2,1/12)*(1-Paramètres!D$7/12)</f>
        <v>12100</v>
      </c>
    </row>
    <row r="77" spans="1:4" x14ac:dyDescent="0.3">
      <c r="A77">
        <v>75</v>
      </c>
      <c r="B77">
        <f>(B76+Paramètres!B$5*(1-Paramètres!B$4))*POWER(1+Paramètres!B$2,1/12)*(1-Paramètres!B$7/12)</f>
        <v>13352.439464246743</v>
      </c>
      <c r="C77">
        <f>(C76+Paramètres!C$5*(1-Paramètres!C$4))*POWER(1+Paramètres!C$2,1/12)*(1-Paramètres!C$7/12)</f>
        <v>13394.41977779747</v>
      </c>
      <c r="D77">
        <f>(D76+Paramètres!D$5*(1-Paramètres!D$4))*POWER(1+Paramètres!D$2,1/12)*(1-Paramètres!D$7/12)</f>
        <v>12250</v>
      </c>
    </row>
    <row r="78" spans="1:4" x14ac:dyDescent="0.3">
      <c r="A78">
        <v>76</v>
      </c>
      <c r="B78">
        <f>(B77+Paramètres!B$5*(1-Paramètres!B$4))*POWER(1+Paramètres!B$2,1/12)*(1-Paramètres!B$7/12)</f>
        <v>13538.928889697132</v>
      </c>
      <c r="C78">
        <f>(C77+Paramètres!C$5*(1-Paramètres!C$4))*POWER(1+Paramètres!C$2,1/12)*(1-Paramètres!C$7/12)</f>
        <v>13573.535517827191</v>
      </c>
      <c r="D78">
        <f>(D77+Paramètres!D$5*(1-Paramètres!D$4))*POWER(1+Paramètres!D$2,1/12)*(1-Paramètres!D$7/12)</f>
        <v>12400</v>
      </c>
    </row>
    <row r="79" spans="1:4" x14ac:dyDescent="0.3">
      <c r="A79">
        <v>77</v>
      </c>
      <c r="B79">
        <f>(B78+Paramètres!B$5*(1-Paramètres!B$4))*POWER(1+Paramètres!B$2,1/12)*(1-Paramètres!B$7/12)</f>
        <v>13726.022055145768</v>
      </c>
      <c r="C79">
        <f>(C78+Paramètres!C$5*(1-Paramètres!C$4))*POWER(1+Paramètres!C$2,1/12)*(1-Paramètres!C$7/12)</f>
        <v>13753.036293717252</v>
      </c>
      <c r="D79">
        <f>(D78+Paramètres!D$5*(1-Paramètres!D$4))*POWER(1+Paramètres!D$2,1/12)*(1-Paramètres!D$7/12)</f>
        <v>12550</v>
      </c>
    </row>
    <row r="80" spans="1:4" x14ac:dyDescent="0.3">
      <c r="A80">
        <v>78</v>
      </c>
      <c r="B80">
        <f>(B79+Paramètres!B$5*(1-Paramètres!B$4))*POWER(1+Paramètres!B$2,1/12)*(1-Paramètres!B$7/12)</f>
        <v>13913.720915137712</v>
      </c>
      <c r="C80">
        <f>(C79+Paramètres!C$5*(1-Paramètres!C$4))*POWER(1+Paramètres!C$2,1/12)*(1-Paramètres!C$7/12)</f>
        <v>13932.922933159365</v>
      </c>
      <c r="D80">
        <f>(D79+Paramètres!D$5*(1-Paramètres!D$4))*POWER(1+Paramètres!D$2,1/12)*(1-Paramètres!D$7/12)</f>
        <v>12700</v>
      </c>
    </row>
    <row r="81" spans="1:4" x14ac:dyDescent="0.3">
      <c r="A81">
        <v>79</v>
      </c>
      <c r="B81">
        <f>(B80+Paramètres!B$5*(1-Paramètres!B$4))*POWER(1+Paramètres!B$2,1/12)*(1-Paramètres!B$7/12)</f>
        <v>14102.027430545662</v>
      </c>
      <c r="C81">
        <f>(C80+Paramètres!C$5*(1-Paramètres!C$4))*POWER(1+Paramètres!C$2,1/12)*(1-Paramètres!C$7/12)</f>
        <v>14113.196265624489</v>
      </c>
      <c r="D81">
        <f>(D80+Paramètres!D$5*(1-Paramètres!D$4))*POWER(1+Paramètres!D$2,1/12)*(1-Paramètres!D$7/12)</f>
        <v>12850</v>
      </c>
    </row>
    <row r="82" spans="1:4" x14ac:dyDescent="0.3">
      <c r="A82">
        <v>80</v>
      </c>
      <c r="B82">
        <f>(B81+Paramètres!B$5*(1-Paramètres!B$4))*POWER(1+Paramètres!B$2,1/12)*(1-Paramètres!B$7/12)</f>
        <v>14290.943568590435</v>
      </c>
      <c r="C82">
        <f>(C81+Paramètres!C$5*(1-Paramètres!C$4))*POWER(1+Paramètres!C$2,1/12)*(1-Paramètres!C$7/12)</f>
        <v>14293.857122366655</v>
      </c>
      <c r="D82">
        <f>(D81+Paramètres!D$5*(1-Paramètres!D$4))*POWER(1+Paramètres!D$2,1/12)*(1-Paramètres!D$7/12)</f>
        <v>13000</v>
      </c>
    </row>
    <row r="83" spans="1:4" x14ac:dyDescent="0.3">
      <c r="A83">
        <v>81</v>
      </c>
      <c r="B83">
        <f>(B82+Paramètres!B$5*(1-Paramètres!B$4))*POWER(1+Paramètres!B$2,1/12)*(1-Paramètres!B$7/12)</f>
        <v>14480.471302861519</v>
      </c>
      <c r="C83">
        <f>(C82+Paramètres!C$5*(1-Paramètres!C$4))*POWER(1+Paramètres!C$2,1/12)*(1-Paramètres!C$7/12)</f>
        <v>14474.906336426797</v>
      </c>
      <c r="D83">
        <f>(D82+Paramètres!D$5*(1-Paramètres!D$4))*POWER(1+Paramètres!D$2,1/12)*(1-Paramètres!D$7/12)</f>
        <v>13150</v>
      </c>
    </row>
    <row r="84" spans="1:4" x14ac:dyDescent="0.3">
      <c r="A84">
        <v>82</v>
      </c>
      <c r="B84">
        <f>(B83+Paramètres!B$5*(1-Paramètres!B$4))*POWER(1+Paramètres!B$2,1/12)*(1-Paramètres!B$7/12)</f>
        <v>14670.612613337689</v>
      </c>
      <c r="C84">
        <f>(C83+Paramètres!C$5*(1-Paramètres!C$4))*POWER(1+Paramètres!C$2,1/12)*(1-Paramètres!C$7/12)</f>
        <v>14656.344742636595</v>
      </c>
      <c r="D84">
        <f>(D83+Paramètres!D$5*(1-Paramètres!D$4))*POWER(1+Paramètres!D$2,1/12)*(1-Paramètres!D$7/12)</f>
        <v>13300</v>
      </c>
    </row>
    <row r="85" spans="1:4" x14ac:dyDescent="0.3">
      <c r="A85">
        <v>83</v>
      </c>
      <c r="B85">
        <f>(B84+Paramètres!B$5*(1-Paramètres!B$4))*POWER(1+Paramètres!B$2,1/12)*(1-Paramètres!B$7/12)</f>
        <v>14861.369486407699</v>
      </c>
      <c r="C85">
        <f>(C84+Paramètres!C$5*(1-Paramètres!C$4))*POWER(1+Paramètres!C$2,1/12)*(1-Paramètres!C$7/12)</f>
        <v>14838.173177622322</v>
      </c>
      <c r="D85">
        <f>(D84+Paramètres!D$5*(1-Paramètres!D$4))*POWER(1+Paramètres!D$2,1/12)*(1-Paramètres!D$7/12)</f>
        <v>13450</v>
      </c>
    </row>
    <row r="86" spans="1:4" x14ac:dyDescent="0.3">
      <c r="A86">
        <v>84</v>
      </c>
      <c r="B86">
        <f>(B85+Paramètres!B$5*(1-Paramètres!B$4))*POWER(1+Paramètres!B$2,1/12)*(1-Paramètres!B$7/12)</f>
        <v>15052.743914891023</v>
      </c>
      <c r="C86">
        <f>(C85+Paramètres!C$5*(1-Paramètres!C$4))*POWER(1+Paramètres!C$2,1/12)*(1-Paramètres!C$7/12)</f>
        <v>15020.392479808706</v>
      </c>
      <c r="D86">
        <f>(D85+Paramètres!D$5*(1-Paramètres!D$4))*POWER(1+Paramètres!D$2,1/12)*(1-Paramètres!D$7/12)</f>
        <v>13600</v>
      </c>
    </row>
    <row r="87" spans="1:4" x14ac:dyDescent="0.3">
      <c r="A87">
        <v>85</v>
      </c>
      <c r="B87">
        <f>(B86+Paramètres!B$5*(1-Paramètres!B$4))*POWER(1+Paramètres!B$2,1/12)*(1-Paramètres!B$7/12)</f>
        <v>15244.737898058685</v>
      </c>
      <c r="C87">
        <f>(C86+Paramètres!C$5*(1-Paramètres!C$4))*POWER(1+Paramètres!C$2,1/12)*(1-Paramètres!C$7/12)</f>
        <v>15203.003489422792</v>
      </c>
      <c r="D87">
        <f>(D86+Paramètres!D$5*(1-Paramètres!D$4))*POWER(1+Paramètres!D$2,1/12)*(1-Paramètres!D$7/12)</f>
        <v>13750</v>
      </c>
    </row>
    <row r="88" spans="1:4" x14ac:dyDescent="0.3">
      <c r="A88">
        <v>86</v>
      </c>
      <c r="B88">
        <f>(B87+Paramètres!B$5*(1-Paramètres!B$4))*POWER(1+Paramètres!B$2,1/12)*(1-Paramètres!B$7/12)</f>
        <v>15437.353441654137</v>
      </c>
      <c r="C88">
        <f>(C87+Paramètres!C$5*(1-Paramètres!C$4))*POWER(1+Paramètres!C$2,1/12)*(1-Paramètres!C$7/12)</f>
        <v>15386.007048497813</v>
      </c>
      <c r="D88">
        <f>(D87+Paramètres!D$5*(1-Paramètres!D$4))*POWER(1+Paramètres!D$2,1/12)*(1-Paramètres!D$7/12)</f>
        <v>13900</v>
      </c>
    </row>
    <row r="89" spans="1:4" x14ac:dyDescent="0.3">
      <c r="A89">
        <v>87</v>
      </c>
      <c r="B89">
        <f>(B88+Paramètres!B$5*(1-Paramètres!B$4))*POWER(1+Paramètres!B$2,1/12)*(1-Paramètres!B$7/12)</f>
        <v>15630.592557914217</v>
      </c>
      <c r="C89">
        <f>(C88+Paramètres!C$5*(1-Paramètres!C$4))*POWER(1+Paramètres!C$2,1/12)*(1-Paramètres!C$7/12)</f>
        <v>15569.404000877086</v>
      </c>
      <c r="D89">
        <f>(D88+Paramètres!D$5*(1-Paramètres!D$4))*POWER(1+Paramètres!D$2,1/12)*(1-Paramètres!D$7/12)</f>
        <v>14050</v>
      </c>
    </row>
    <row r="90" spans="1:4" x14ac:dyDescent="0.3">
      <c r="A90">
        <v>88</v>
      </c>
      <c r="B90">
        <f>(B89+Paramètres!B$5*(1-Paramètres!B$4))*POWER(1+Paramètres!B$2,1/12)*(1-Paramètres!B$7/12)</f>
        <v>15824.457265590167</v>
      </c>
      <c r="C90">
        <f>(C89+Paramètres!C$5*(1-Paramètres!C$4))*POWER(1+Paramètres!C$2,1/12)*(1-Paramètres!C$7/12)</f>
        <v>15753.195192217889</v>
      </c>
      <c r="D90">
        <f>(D89+Paramètres!D$5*(1-Paramètres!D$4))*POWER(1+Paramètres!D$2,1/12)*(1-Paramètres!D$7/12)</f>
        <v>14200</v>
      </c>
    </row>
    <row r="91" spans="1:4" x14ac:dyDescent="0.3">
      <c r="A91">
        <v>89</v>
      </c>
      <c r="B91">
        <f>(B90+Paramètres!B$5*(1-Paramètres!B$4))*POWER(1+Paramètres!B$2,1/12)*(1-Paramètres!B$7/12)</f>
        <v>16018.949589968726</v>
      </c>
      <c r="C91">
        <f>(C90+Paramètres!C$5*(1-Paramètres!C$4))*POWER(1+Paramètres!C$2,1/12)*(1-Paramètres!C$7/12)</f>
        <v>15937.381469995364</v>
      </c>
      <c r="D91">
        <f>(D90+Paramètres!D$5*(1-Paramètres!D$4))*POWER(1+Paramètres!D$2,1/12)*(1-Paramètres!D$7/12)</f>
        <v>14350</v>
      </c>
    </row>
    <row r="92" spans="1:4" x14ac:dyDescent="0.3">
      <c r="A92">
        <v>90</v>
      </c>
      <c r="B92">
        <f>(B91+Paramètres!B$5*(1-Paramètres!B$4))*POWER(1+Paramètres!B$2,1/12)*(1-Paramètres!B$7/12)</f>
        <v>16214.071562893287</v>
      </c>
      <c r="C92">
        <f>(C91+Paramètres!C$5*(1-Paramètres!C$4))*POWER(1+Paramètres!C$2,1/12)*(1-Paramètres!C$7/12)</f>
        <v>16121.963683506432</v>
      </c>
      <c r="D92">
        <f>(D91+Paramètres!D$5*(1-Paramètres!D$4))*POWER(1+Paramètres!D$2,1/12)*(1-Paramètres!D$7/12)</f>
        <v>14500</v>
      </c>
    </row>
    <row r="93" spans="1:4" x14ac:dyDescent="0.3">
      <c r="A93">
        <v>91</v>
      </c>
      <c r="B93">
        <f>(B92+Paramètres!B$5*(1-Paramètres!B$4))*POWER(1+Paramètres!B$2,1/12)*(1-Paramètres!B$7/12)</f>
        <v>16409.825222785123</v>
      </c>
      <c r="C93">
        <f>(C92+Paramètres!C$5*(1-Paramètres!C$4))*POWER(1+Paramètres!C$2,1/12)*(1-Paramètres!C$7/12)</f>
        <v>16306.942683873702</v>
      </c>
      <c r="D93">
        <f>(D92+Paramètres!D$5*(1-Paramètres!D$4))*POWER(1+Paramètres!D$2,1/12)*(1-Paramètres!D$7/12)</f>
        <v>14650</v>
      </c>
    </row>
    <row r="94" spans="1:4" x14ac:dyDescent="0.3">
      <c r="A94">
        <v>92</v>
      </c>
      <c r="B94">
        <f>(B93+Paramètres!B$5*(1-Paramètres!B$4))*POWER(1+Paramètres!B$2,1/12)*(1-Paramètres!B$7/12)</f>
        <v>16606.212614664684</v>
      </c>
      <c r="C94">
        <f>(C93+Paramètres!C$5*(1-Paramètres!C$4))*POWER(1+Paramètres!C$2,1/12)*(1-Paramètres!C$7/12)</f>
        <v>16492.319324049397</v>
      </c>
      <c r="D94">
        <f>(D93+Paramètres!D$5*(1-Paramètres!D$4))*POWER(1+Paramètres!D$2,1/12)*(1-Paramètres!D$7/12)</f>
        <v>14800</v>
      </c>
    </row>
    <row r="95" spans="1:4" x14ac:dyDescent="0.3">
      <c r="A95">
        <v>93</v>
      </c>
      <c r="B95">
        <f>(B94+Paramètres!B$5*(1-Paramètres!B$4))*POWER(1+Paramètres!B$2,1/12)*(1-Paramètres!B$7/12)</f>
        <v>16803.235790172956</v>
      </c>
      <c r="C95">
        <f>(C94+Paramètres!C$5*(1-Paramètres!C$4))*POWER(1+Paramètres!C$2,1/12)*(1-Paramètres!C$7/12)</f>
        <v>16678.094458819283</v>
      </c>
      <c r="D95">
        <f>(D94+Paramètres!D$5*(1-Paramètres!D$4))*POWER(1+Paramètres!D$2,1/12)*(1-Paramètres!D$7/12)</f>
        <v>14950</v>
      </c>
    </row>
    <row r="96" spans="1:4" x14ac:dyDescent="0.3">
      <c r="A96">
        <v>94</v>
      </c>
      <c r="B96">
        <f>(B95+Paramètres!B$5*(1-Paramètres!B$4))*POWER(1+Paramètres!B$2,1/12)*(1-Paramètres!B$7/12)</f>
        <v>17000.896807592901</v>
      </c>
      <c r="C96">
        <f>(C95+Paramètres!C$5*(1-Paramètres!C$4))*POWER(1+Paramètres!C$2,1/12)*(1-Paramètres!C$7/12)</f>
        <v>16864.268944806623</v>
      </c>
      <c r="D96">
        <f>(D95+Paramètres!D$5*(1-Paramètres!D$4))*POWER(1+Paramètres!D$2,1/12)*(1-Paramètres!D$7/12)</f>
        <v>15100</v>
      </c>
    </row>
    <row r="97" spans="1:4" x14ac:dyDescent="0.3">
      <c r="A97">
        <v>95</v>
      </c>
      <c r="B97">
        <f>(B96+Paramètres!B$5*(1-Paramètres!B$4))*POWER(1+Paramètres!B$2,1/12)*(1-Paramètres!B$7/12)</f>
        <v>17199.197731870954</v>
      </c>
      <c r="C97">
        <f>(C96+Paramètres!C$5*(1-Paramètres!C$4))*POWER(1+Paramètres!C$2,1/12)*(1-Paramètres!C$7/12)</f>
        <v>17050.843640476109</v>
      </c>
      <c r="D97">
        <f>(D96+Paramètres!D$5*(1-Paramètres!D$4))*POWER(1+Paramètres!D$2,1/12)*(1-Paramètres!D$7/12)</f>
        <v>15250</v>
      </c>
    </row>
    <row r="98" spans="1:4" x14ac:dyDescent="0.3">
      <c r="A98">
        <v>96</v>
      </c>
      <c r="B98">
        <f>(B97+Paramètres!B$5*(1-Paramètres!B$4))*POWER(1+Paramètres!B$2,1/12)*(1-Paramètres!B$7/12)</f>
        <v>17398.140634638607</v>
      </c>
      <c r="C98">
        <f>(C97+Paramètres!C$5*(1-Paramètres!C$4))*POWER(1+Paramètres!C$2,1/12)*(1-Paramètres!C$7/12)</f>
        <v>17237.819406137842</v>
      </c>
      <c r="D98">
        <f>(D97+Paramètres!D$5*(1-Paramètres!D$4))*POWER(1+Paramètres!D$2,1/12)*(1-Paramètres!D$7/12)</f>
        <v>15400</v>
      </c>
    </row>
    <row r="99" spans="1:4" x14ac:dyDescent="0.3">
      <c r="A99">
        <v>97</v>
      </c>
      <c r="B99">
        <f>(B98+Paramètres!B$5*(1-Paramètres!B$4))*POWER(1+Paramètres!B$2,1/12)*(1-Paramètres!B$7/12)</f>
        <v>17597.727594234027</v>
      </c>
      <c r="C99">
        <f>(C98+Paramètres!C$5*(1-Paramètres!C$4))*POWER(1+Paramètres!C$2,1/12)*(1-Paramètres!C$7/12)</f>
        <v>17425.197103951279</v>
      </c>
      <c r="D99">
        <f>(D98+Paramètres!D$5*(1-Paramètres!D$4))*POWER(1+Paramètres!D$2,1/12)*(1-Paramètres!D$7/12)</f>
        <v>15550</v>
      </c>
    </row>
    <row r="100" spans="1:4" x14ac:dyDescent="0.3">
      <c r="A100">
        <v>98</v>
      </c>
      <c r="B100">
        <f>(B99+Paramètres!B$5*(1-Paramètres!B$4))*POWER(1+Paramètres!B$2,1/12)*(1-Paramètres!B$7/12)</f>
        <v>17797.960695723796</v>
      </c>
      <c r="C100">
        <f>(C99+Paramètres!C$5*(1-Paramètres!C$4))*POWER(1+Paramètres!C$2,1/12)*(1-Paramètres!C$7/12)</f>
        <v>17612.977597929217</v>
      </c>
      <c r="D100">
        <f>(D99+Paramètres!D$5*(1-Paramètres!D$4))*POWER(1+Paramètres!D$2,1/12)*(1-Paramètres!D$7/12)</f>
        <v>15700</v>
      </c>
    </row>
    <row r="101" spans="1:4" x14ac:dyDescent="0.3">
      <c r="A101">
        <v>99</v>
      </c>
      <c r="B101">
        <f>(B100+Paramètres!B$5*(1-Paramètres!B$4))*POWER(1+Paramètres!B$2,1/12)*(1-Paramètres!B$7/12)</f>
        <v>17998.842030924676</v>
      </c>
      <c r="C101">
        <f>(C100+Paramètres!C$5*(1-Paramètres!C$4))*POWER(1+Paramètres!C$2,1/12)*(1-Paramètres!C$7/12)</f>
        <v>17801.161753941782</v>
      </c>
      <c r="D101">
        <f>(D100+Paramètres!D$5*(1-Paramètres!D$4))*POWER(1+Paramètres!D$2,1/12)*(1-Paramètres!D$7/12)</f>
        <v>15850</v>
      </c>
    </row>
    <row r="102" spans="1:4" x14ac:dyDescent="0.3">
      <c r="A102">
        <v>100</v>
      </c>
      <c r="B102">
        <f>(B101+Paramètres!B$5*(1-Paramètres!B$4))*POWER(1+Paramètres!B$2,1/12)*(1-Paramètres!B$7/12)</f>
        <v>18200.373698425468</v>
      </c>
      <c r="C102">
        <f>(C101+Paramètres!C$5*(1-Paramètres!C$4))*POWER(1+Paramètres!C$2,1/12)*(1-Paramètres!C$7/12)</f>
        <v>17989.75043972041</v>
      </c>
      <c r="D102">
        <f>(D101+Paramètres!D$5*(1-Paramètres!D$4))*POWER(1+Paramètres!D$2,1/12)*(1-Paramètres!D$7/12)</f>
        <v>16000</v>
      </c>
    </row>
    <row r="103" spans="1:4" x14ac:dyDescent="0.3">
      <c r="A103">
        <v>101</v>
      </c>
      <c r="B103">
        <f>(B102+Paramètres!B$5*(1-Paramètres!B$4))*POWER(1+Paramètres!B$2,1/12)*(1-Paramètres!B$7/12)</f>
        <v>18402.557803608936</v>
      </c>
      <c r="C103">
        <f>(C102+Paramètres!C$5*(1-Paramètres!C$4))*POWER(1+Paramètres!C$2,1/12)*(1-Paramètres!C$7/12)</f>
        <v>18178.744524861857</v>
      </c>
      <c r="D103">
        <f>(D102+Paramètres!D$5*(1-Paramètres!D$4))*POWER(1+Paramètres!D$2,1/12)*(1-Paramètres!D$7/12)</f>
        <v>16150</v>
      </c>
    </row>
    <row r="104" spans="1:4" x14ac:dyDescent="0.3">
      <c r="A104">
        <v>102</v>
      </c>
      <c r="B104">
        <f>(B103+Paramètres!B$5*(1-Paramètres!B$4))*POWER(1+Paramètres!B$2,1/12)*(1-Paramètres!B$7/12)</f>
        <v>18605.396458673793</v>
      </c>
      <c r="C104">
        <f>(C103+Paramètres!C$5*(1-Paramètres!C$4))*POWER(1+Paramètres!C$2,1/12)*(1-Paramètres!C$7/12)</f>
        <v>18368.144880832206</v>
      </c>
      <c r="D104">
        <f>(D103+Paramètres!D$5*(1-Paramètres!D$4))*POWER(1+Paramètres!D$2,1/12)*(1-Paramètres!D$7/12)</f>
        <v>16300</v>
      </c>
    </row>
    <row r="105" spans="1:4" x14ac:dyDescent="0.3">
      <c r="A105">
        <v>103</v>
      </c>
      <c r="B105">
        <f>(B104+Paramètres!B$5*(1-Paramètres!B$4))*POWER(1+Paramètres!B$2,1/12)*(1-Paramètres!B$7/12)</f>
        <v>18808.891782656781</v>
      </c>
      <c r="C105">
        <f>(C104+Paramètres!C$5*(1-Paramètres!C$4))*POWER(1+Paramètres!C$2,1/12)*(1-Paramètres!C$7/12)</f>
        <v>18557.952380970888</v>
      </c>
      <c r="D105">
        <f>(D104+Paramètres!D$5*(1-Paramètres!D$4))*POWER(1+Paramètres!D$2,1/12)*(1-Paramètres!D$7/12)</f>
        <v>16450</v>
      </c>
    </row>
    <row r="106" spans="1:4" x14ac:dyDescent="0.3">
      <c r="A106">
        <v>104</v>
      </c>
      <c r="B106">
        <f>(B105+Paramètres!B$5*(1-Paramètres!B$4))*POWER(1+Paramètres!B$2,1/12)*(1-Paramètres!B$7/12)</f>
        <v>19013.045901454803</v>
      </c>
      <c r="C106">
        <f>(C105+Paramètres!C$5*(1-Paramètres!C$4))*POWER(1+Paramètres!C$2,1/12)*(1-Paramètres!C$7/12)</f>
        <v>18748.1679004947</v>
      </c>
      <c r="D106">
        <f>(D105+Paramètres!D$5*(1-Paramètres!D$4))*POWER(1+Paramètres!D$2,1/12)*(1-Paramètres!D$7/12)</f>
        <v>16600</v>
      </c>
    </row>
    <row r="107" spans="1:4" x14ac:dyDescent="0.3">
      <c r="A107">
        <v>105</v>
      </c>
      <c r="B107">
        <f>(B106+Paramètres!B$5*(1-Paramètres!B$4))*POWER(1+Paramètres!B$2,1/12)*(1-Paramètres!B$7/12)</f>
        <v>19217.860947847126</v>
      </c>
      <c r="C107">
        <f>(C106+Paramètres!C$5*(1-Paramètres!C$4))*POWER(1+Paramètres!C$2,1/12)*(1-Paramètres!C$7/12)</f>
        <v>18938.792316501858</v>
      </c>
      <c r="D107">
        <f>(D106+Paramètres!D$5*(1-Paramètres!D$4))*POWER(1+Paramètres!D$2,1/12)*(1-Paramètres!D$7/12)</f>
        <v>16750</v>
      </c>
    </row>
    <row r="108" spans="1:4" x14ac:dyDescent="0.3">
      <c r="A108">
        <v>106</v>
      </c>
      <c r="B108">
        <f>(B107+Paramètres!B$5*(1-Paramètres!B$4))*POWER(1+Paramètres!B$2,1/12)*(1-Paramètres!B$7/12)</f>
        <v>19423.339061517669</v>
      </c>
      <c r="C108">
        <f>(C107+Paramètres!C$5*(1-Paramètres!C$4))*POWER(1+Paramètres!C$2,1/12)*(1-Paramètres!C$7/12)</f>
        <v>19129.826507976024</v>
      </c>
      <c r="D108">
        <f>(D107+Paramètres!D$5*(1-Paramètres!D$4))*POWER(1+Paramètres!D$2,1/12)*(1-Paramètres!D$7/12)</f>
        <v>16900</v>
      </c>
    </row>
    <row r="109" spans="1:4" x14ac:dyDescent="0.3">
      <c r="A109">
        <v>107</v>
      </c>
      <c r="B109">
        <f>(B108+Paramètres!B$5*(1-Paramètres!B$4))*POWER(1+Paramètres!B$2,1/12)*(1-Paramètres!B$7/12)</f>
        <v>19629.482389077351</v>
      </c>
      <c r="C109">
        <f>(C108+Paramètres!C$5*(1-Paramètres!C$4))*POWER(1+Paramètres!C$2,1/12)*(1-Paramètres!C$7/12)</f>
        <v>19321.271355790363</v>
      </c>
      <c r="D109">
        <f>(D108+Paramètres!D$5*(1-Paramètres!D$4))*POWER(1+Paramètres!D$2,1/12)*(1-Paramètres!D$7/12)</f>
        <v>17050</v>
      </c>
    </row>
    <row r="110" spans="1:4" x14ac:dyDescent="0.3">
      <c r="A110">
        <v>108</v>
      </c>
      <c r="B110">
        <f>(B109+Paramètres!B$5*(1-Paramètres!B$4))*POWER(1+Paramètres!B$2,1/12)*(1-Paramètres!B$7/12)</f>
        <v>19836.293084086523</v>
      </c>
      <c r="C110">
        <f>(C109+Paramètres!C$5*(1-Paramètres!C$4))*POWER(1+Paramètres!C$2,1/12)*(1-Paramètres!C$7/12)</f>
        <v>19513.127742711615</v>
      </c>
      <c r="D110">
        <f>(D109+Paramètres!D$5*(1-Paramètres!D$4))*POWER(1+Paramètres!D$2,1/12)*(1-Paramètres!D$7/12)</f>
        <v>17200</v>
      </c>
    </row>
    <row r="111" spans="1:4" x14ac:dyDescent="0.3">
      <c r="A111">
        <v>109</v>
      </c>
      <c r="B111">
        <f>(B110+Paramètres!B$5*(1-Paramètres!B$4))*POWER(1+Paramètres!B$2,1/12)*(1-Paramètres!B$7/12)</f>
        <v>20043.773307077459</v>
      </c>
      <c r="C111">
        <f>(C110+Paramètres!C$5*(1-Paramètres!C$4))*POWER(1+Paramètres!C$2,1/12)*(1-Paramètres!C$7/12)</f>
        <v>19705.396553404153</v>
      </c>
      <c r="D111">
        <f>(D110+Paramètres!D$5*(1-Paramètres!D$4))*POWER(1+Paramètres!D$2,1/12)*(1-Paramètres!D$7/12)</f>
        <v>17350</v>
      </c>
    </row>
    <row r="112" spans="1:4" x14ac:dyDescent="0.3">
      <c r="A112">
        <v>110</v>
      </c>
      <c r="B112">
        <f>(B111+Paramètres!B$5*(1-Paramètres!B$4))*POWER(1+Paramètres!B$2,1/12)*(1-Paramètres!B$7/12)</f>
        <v>20251.925225576935</v>
      </c>
      <c r="C112">
        <f>(C111+Paramètres!C$5*(1-Paramètres!C$4))*POWER(1+Paramètres!C$2,1/12)*(1-Paramètres!C$7/12)</f>
        <v>19898.078674434069</v>
      </c>
      <c r="D112">
        <f>(D111+Paramètres!D$5*(1-Paramètres!D$4))*POWER(1+Paramètres!D$2,1/12)*(1-Paramètres!D$7/12)</f>
        <v>17500</v>
      </c>
    </row>
    <row r="113" spans="1:4" x14ac:dyDescent="0.3">
      <c r="A113">
        <v>111</v>
      </c>
      <c r="B113">
        <f>(B112+Paramètres!B$5*(1-Paramètres!B$4))*POWER(1+Paramètres!B$2,1/12)*(1-Paramètres!B$7/12)</f>
        <v>20460.751014128866</v>
      </c>
      <c r="C113">
        <f>(C112+Paramètres!C$5*(1-Paramètres!C$4))*POWER(1+Paramètres!C$2,1/12)*(1-Paramètres!C$7/12)</f>
        <v>20091.17499427326</v>
      </c>
      <c r="D113">
        <f>(D112+Paramètres!D$5*(1-Paramètres!D$4))*POWER(1+Paramètres!D$2,1/12)*(1-Paramètres!D$7/12)</f>
        <v>17650</v>
      </c>
    </row>
    <row r="114" spans="1:4" x14ac:dyDescent="0.3">
      <c r="A114">
        <v>112</v>
      </c>
      <c r="B114">
        <f>(B113+Paramètres!B$5*(1-Paramètres!B$4))*POWER(1+Paramètres!B$2,1/12)*(1-Paramètres!B$7/12)</f>
        <v>20670.252854317019</v>
      </c>
      <c r="C114">
        <f>(C113+Paramètres!C$5*(1-Paramètres!C$4))*POWER(1+Paramètres!C$2,1/12)*(1-Paramètres!C$7/12)</f>
        <v>20284.686403303524</v>
      </c>
      <c r="D114">
        <f>(D113+Paramètres!D$5*(1-Paramètres!D$4))*POWER(1+Paramètres!D$2,1/12)*(1-Paramètres!D$7/12)</f>
        <v>17800</v>
      </c>
    </row>
    <row r="115" spans="1:4" x14ac:dyDescent="0.3">
      <c r="A115">
        <v>113</v>
      </c>
      <c r="B115">
        <f>(B114+Paramètres!B$5*(1-Paramètres!B$4))*POWER(1+Paramètres!B$2,1/12)*(1-Paramètres!B$7/12)</f>
        <v>20880.432934787823</v>
      </c>
      <c r="C115">
        <f>(C114+Paramètres!C$5*(1-Paramètres!C$4))*POWER(1+Paramètres!C$2,1/12)*(1-Paramètres!C$7/12)</f>
        <v>20478.613793820667</v>
      </c>
      <c r="D115">
        <f>(D114+Paramètres!D$5*(1-Paramètres!D$4))*POWER(1+Paramètres!D$2,1/12)*(1-Paramètres!D$7/12)</f>
        <v>17950</v>
      </c>
    </row>
    <row r="116" spans="1:4" x14ac:dyDescent="0.3">
      <c r="A116">
        <v>114</v>
      </c>
      <c r="B116">
        <f>(B115+Paramètres!B$5*(1-Paramètres!B$4))*POWER(1+Paramètres!B$2,1/12)*(1-Paramètres!B$7/12)</f>
        <v>21091.293451273206</v>
      </c>
      <c r="C116">
        <f>(C115+Paramètres!C$5*(1-Paramètres!C$4))*POWER(1+Paramètres!C$2,1/12)*(1-Paramètres!C$7/12)</f>
        <v>20672.958060038625</v>
      </c>
      <c r="D116">
        <f>(D115+Paramètres!D$5*(1-Paramètres!D$4))*POWER(1+Paramètres!D$2,1/12)*(1-Paramètres!D$7/12)</f>
        <v>18100</v>
      </c>
    </row>
    <row r="117" spans="1:4" x14ac:dyDescent="0.3">
      <c r="A117">
        <v>115</v>
      </c>
      <c r="B117">
        <f>(B116+Paramètres!B$5*(1-Paramètres!B$4))*POWER(1+Paramètres!B$2,1/12)*(1-Paramètres!B$7/12)</f>
        <v>21302.836606613557</v>
      </c>
      <c r="C117">
        <f>(C116+Paramètres!C$5*(1-Paramètres!C$4))*POWER(1+Paramètres!C$2,1/12)*(1-Paramètres!C$7/12)</f>
        <v>20867.720098093567</v>
      </c>
      <c r="D117">
        <f>(D116+Paramètres!D$5*(1-Paramètres!D$4))*POWER(1+Paramètres!D$2,1/12)*(1-Paramètres!D$7/12)</f>
        <v>18250</v>
      </c>
    </row>
    <row r="118" spans="1:4" x14ac:dyDescent="0.3">
      <c r="A118">
        <v>116</v>
      </c>
      <c r="B118">
        <f>(B117+Paramètres!B$5*(1-Paramètres!B$4))*POWER(1+Paramètres!B$2,1/12)*(1-Paramètres!B$7/12)</f>
        <v>21515.064610780733</v>
      </c>
      <c r="C118">
        <f>(C117+Paramètres!C$5*(1-Paramètres!C$4))*POWER(1+Paramètres!C$2,1/12)*(1-Paramètres!C$7/12)</f>
        <v>21062.900806048045</v>
      </c>
      <c r="D118">
        <f>(D117+Paramètres!D$5*(1-Paramètres!D$4))*POWER(1+Paramètres!D$2,1/12)*(1-Paramètres!D$7/12)</f>
        <v>18400</v>
      </c>
    </row>
    <row r="119" spans="1:4" x14ac:dyDescent="0.3">
      <c r="A119">
        <v>117</v>
      </c>
      <c r="B119">
        <f>(B118+Paramètres!B$5*(1-Paramètres!B$4))*POWER(1+Paramètres!B$2,1/12)*(1-Paramètres!B$7/12)</f>
        <v>21727.979680901139</v>
      </c>
      <c r="C119">
        <f>(C118+Paramètres!C$5*(1-Paramètres!C$4))*POWER(1+Paramètres!C$2,1/12)*(1-Paramètres!C$7/12)</f>
        <v>21258.501083895131</v>
      </c>
      <c r="D119">
        <f>(D118+Paramètres!D$5*(1-Paramètres!D$4))*POWER(1+Paramètres!D$2,1/12)*(1-Paramètres!D$7/12)</f>
        <v>18550</v>
      </c>
    </row>
    <row r="120" spans="1:4" x14ac:dyDescent="0.3">
      <c r="A120">
        <v>118</v>
      </c>
      <c r="B120">
        <f>(B119+Paramètres!B$5*(1-Paramètres!B$4))*POWER(1+Paramètres!B$2,1/12)*(1-Paramètres!B$7/12)</f>
        <v>21941.584041278893</v>
      </c>
      <c r="C120">
        <f>(C119+Paramètres!C$5*(1-Paramètres!C$4))*POWER(1+Paramètres!C$2,1/12)*(1-Paramètres!C$7/12)</f>
        <v>21454.521833562569</v>
      </c>
      <c r="D120">
        <f>(D119+Paramètres!D$5*(1-Paramètres!D$4))*POWER(1+Paramètres!D$2,1/12)*(1-Paramètres!D$7/12)</f>
        <v>18700</v>
      </c>
    </row>
    <row r="121" spans="1:4" x14ac:dyDescent="0.3">
      <c r="A121">
        <v>119</v>
      </c>
      <c r="B121">
        <f>(B120+Paramètres!B$5*(1-Paramètres!B$4))*POWER(1+Paramètres!B$2,1/12)*(1-Paramètres!B$7/12)</f>
        <v>22155.879923419066</v>
      </c>
      <c r="C121">
        <f>(C120+Paramètres!C$5*(1-Paramètres!C$4))*POWER(1+Paramètres!C$2,1/12)*(1-Paramètres!C$7/12)</f>
        <v>21650.96395891692</v>
      </c>
      <c r="D121">
        <f>(D120+Paramètres!D$5*(1-Paramètres!D$4))*POWER(1+Paramètres!D$2,1/12)*(1-Paramètres!D$7/12)</f>
        <v>18850</v>
      </c>
    </row>
    <row r="122" spans="1:4" x14ac:dyDescent="0.3">
      <c r="A122">
        <v>120</v>
      </c>
      <c r="B122">
        <f>(B121+Paramètres!B$5*(1-Paramètres!B$4))*POWER(1+Paramètres!B$2,1/12)*(1-Paramètres!B$7/12)</f>
        <v>22370.869566050998</v>
      </c>
      <c r="C122">
        <f>(C121+Paramètres!C$5*(1-Paramètres!C$4))*POWER(1+Paramètres!C$2,1/12)*(1-Paramètres!C$7/12)</f>
        <v>21847.828365767749</v>
      </c>
      <c r="D122">
        <f>(D121+Paramètres!D$5*(1-Paramètres!D$4))*POWER(1+Paramètres!D$2,1/12)*(1-Paramètres!D$7/12)</f>
        <v>19000</v>
      </c>
    </row>
    <row r="123" spans="1:4" x14ac:dyDescent="0.3">
      <c r="A123">
        <v>121</v>
      </c>
      <c r="B123">
        <f>(B122+Paramètres!B$5*(1-Paramètres!B$4))*POWER(1+Paramètres!B$2,1/12)*(1-Paramètres!B$7/12)</f>
        <v>22586.555215151675</v>
      </c>
      <c r="C123">
        <f>(C122+Paramètres!C$5*(1-Paramètres!C$4))*POWER(1+Paramètres!C$2,1/12)*(1-Paramètres!C$7/12)</f>
        <v>22045.115961871794</v>
      </c>
      <c r="D123">
        <f>(D122+Paramètres!D$5*(1-Paramètres!D$4))*POWER(1+Paramètres!D$2,1/12)*(1-Paramètres!D$7/12)</f>
        <v>19150</v>
      </c>
    </row>
    <row r="124" spans="1:4" x14ac:dyDescent="0.3">
      <c r="A124">
        <v>122</v>
      </c>
      <c r="B124">
        <f>(B123+Paramètres!B$5*(1-Paramètres!B$4))*POWER(1+Paramètres!B$2,1/12)*(1-Paramètres!B$7/12)</f>
        <v>22802.939123969198</v>
      </c>
      <c r="C124">
        <f>(C123+Paramètres!C$5*(1-Paramètres!C$4))*POWER(1+Paramètres!C$2,1/12)*(1-Paramètres!C$7/12)</f>
        <v>22242.827656937145</v>
      </c>
      <c r="D124">
        <f>(D123+Paramètres!D$5*(1-Paramètres!D$4))*POWER(1+Paramètres!D$2,1/12)*(1-Paramètres!D$7/12)</f>
        <v>19300</v>
      </c>
    </row>
    <row r="125" spans="1:4" x14ac:dyDescent="0.3">
      <c r="A125">
        <v>123</v>
      </c>
      <c r="B125">
        <f>(B124+Paramètres!B$5*(1-Paramètres!B$4))*POWER(1+Paramètres!B$2,1/12)*(1-Paramètres!B$7/12)</f>
        <v>23020.023553046329</v>
      </c>
      <c r="C125">
        <f>(C124+Paramètres!C$5*(1-Paramètres!C$4))*POWER(1+Paramètres!C$2,1/12)*(1-Paramètres!C$7/12)</f>
        <v>22440.964362627445</v>
      </c>
      <c r="D125">
        <f>(D124+Paramètres!D$5*(1-Paramètres!D$4))*POWER(1+Paramètres!D$2,1/12)*(1-Paramètres!D$7/12)</f>
        <v>19450</v>
      </c>
    </row>
    <row r="126" spans="1:4" x14ac:dyDescent="0.3">
      <c r="A126">
        <v>124</v>
      </c>
      <c r="B126">
        <f>(B125+Paramètres!B$5*(1-Paramètres!B$4))*POWER(1+Paramètres!B$2,1/12)*(1-Paramètres!B$7/12)</f>
        <v>23237.810770244094</v>
      </c>
      <c r="C126">
        <f>(C125+Paramètres!C$5*(1-Paramètres!C$4))*POWER(1+Paramètres!C$2,1/12)*(1-Paramètres!C$7/12)</f>
        <v>22639.526992566098</v>
      </c>
      <c r="D126">
        <f>(D125+Paramètres!D$5*(1-Paramètres!D$4))*POWER(1+Paramètres!D$2,1/12)*(1-Paramètres!D$7/12)</f>
        <v>19600</v>
      </c>
    </row>
    <row r="127" spans="1:4" x14ac:dyDescent="0.3">
      <c r="A127">
        <v>125</v>
      </c>
      <c r="B127">
        <f>(B126+Paramètres!B$5*(1-Paramètres!B$4))*POWER(1+Paramètres!B$2,1/12)*(1-Paramètres!B$7/12)</f>
        <v>23456.303050765484</v>
      </c>
      <c r="C127">
        <f>(C126+Paramètres!C$5*(1-Paramètres!C$4))*POWER(1+Paramètres!C$2,1/12)*(1-Paramètres!C$7/12)</f>
        <v>22838.516462340471</v>
      </c>
      <c r="D127">
        <f>(D126+Paramètres!D$5*(1-Paramètres!D$4))*POWER(1+Paramètres!D$2,1/12)*(1-Paramètres!D$7/12)</f>
        <v>19750</v>
      </c>
    </row>
    <row r="128" spans="1:4" x14ac:dyDescent="0.3">
      <c r="A128">
        <v>126</v>
      </c>
      <c r="B128">
        <f>(B127+Paramètres!B$5*(1-Paramètres!B$4))*POWER(1+Paramètres!B$2,1/12)*(1-Paramètres!B$7/12)</f>
        <v>23675.502677179229</v>
      </c>
      <c r="C128">
        <f>(C127+Paramètres!C$5*(1-Paramètres!C$4))*POWER(1+Paramètres!C$2,1/12)*(1-Paramètres!C$7/12)</f>
        <v>23037.933689506128</v>
      </c>
      <c r="D128">
        <f>(D127+Paramètres!D$5*(1-Paramètres!D$4))*POWER(1+Paramètres!D$2,1/12)*(1-Paramètres!D$7/12)</f>
        <v>19900</v>
      </c>
    </row>
    <row r="129" spans="1:4" x14ac:dyDescent="0.3">
      <c r="A129">
        <v>127</v>
      </c>
      <c r="B129">
        <f>(B128+Paramètres!B$5*(1-Paramètres!B$4))*POWER(1+Paramètres!B$2,1/12)*(1-Paramètres!B$7/12)</f>
        <v>23895.411939443624</v>
      </c>
      <c r="C129">
        <f>(C128+Paramètres!C$5*(1-Paramètres!C$4))*POWER(1+Paramètres!C$2,1/12)*(1-Paramètres!C$7/12)</f>
        <v>23237.779593591054</v>
      </c>
      <c r="D129">
        <f>(D128+Paramètres!D$5*(1-Paramètres!D$4))*POWER(1+Paramètres!D$2,1/12)*(1-Paramètres!D$7/12)</f>
        <v>20050</v>
      </c>
    </row>
    <row r="130" spans="1:4" x14ac:dyDescent="0.3">
      <c r="A130">
        <v>128</v>
      </c>
      <c r="B130">
        <f>(B129+Paramètres!B$5*(1-Paramètres!B$4))*POWER(1+Paramètres!B$2,1/12)*(1-Paramètres!B$7/12)</f>
        <v>24116.033134930469</v>
      </c>
      <c r="C130">
        <f>(C129+Paramètres!C$5*(1-Paramètres!C$4))*POWER(1+Paramètres!C$2,1/12)*(1-Paramètres!C$7/12)</f>
        <v>23438.055096099892</v>
      </c>
      <c r="D130">
        <f>(D129+Paramètres!D$5*(1-Paramètres!D$4))*POWER(1+Paramètres!D$2,1/12)*(1-Paramètres!D$7/12)</f>
        <v>20200</v>
      </c>
    </row>
    <row r="131" spans="1:4" x14ac:dyDescent="0.3">
      <c r="A131">
        <v>129</v>
      </c>
      <c r="B131">
        <f>(B130+Paramètres!B$5*(1-Paramètres!B$4))*POWER(1+Paramètres!B$2,1/12)*(1-Paramètres!B$7/12)</f>
        <v>24337.36856844907</v>
      </c>
      <c r="C131">
        <f>(C130+Paramètres!C$5*(1-Paramètres!C$4))*POWER(1+Paramètres!C$2,1/12)*(1-Paramètres!C$7/12)</f>
        <v>23638.761120518197</v>
      </c>
      <c r="D131">
        <f>(D130+Paramètres!D$5*(1-Paramètres!D$4))*POWER(1+Paramètres!D$2,1/12)*(1-Paramètres!D$7/12)</f>
        <v>20350</v>
      </c>
    </row>
    <row r="132" spans="1:4" x14ac:dyDescent="0.3">
      <c r="A132">
        <v>130</v>
      </c>
      <c r="B132">
        <f>(B131+Paramètres!B$5*(1-Paramètres!B$4))*POWER(1+Paramètres!B$2,1/12)*(1-Paramètres!B$7/12)</f>
        <v>24559.420552270305</v>
      </c>
      <c r="C132">
        <f>(C131+Paramètres!C$5*(1-Paramètres!C$4))*POWER(1+Paramètres!C$2,1/12)*(1-Paramètres!C$7/12)</f>
        <v>23839.898592316698</v>
      </c>
      <c r="D132">
        <f>(D131+Paramètres!D$5*(1-Paramètres!D$4))*POWER(1+Paramètres!D$2,1/12)*(1-Paramètres!D$7/12)</f>
        <v>20500</v>
      </c>
    </row>
    <row r="133" spans="1:4" x14ac:dyDescent="0.3">
      <c r="A133">
        <v>131</v>
      </c>
      <c r="B133">
        <f>(B132+Paramètres!B$5*(1-Paramètres!B$4))*POWER(1+Paramètres!B$2,1/12)*(1-Paramètres!B$7/12)</f>
        <v>24782.191406150792</v>
      </c>
      <c r="C133">
        <f>(C132+Paramètres!C$5*(1-Paramètres!C$4))*POWER(1+Paramètres!C$2,1/12)*(1-Paramètres!C$7/12)</f>
        <v>24041.468438955551</v>
      </c>
      <c r="D133">
        <f>(D132+Paramètres!D$5*(1-Paramètres!D$4))*POWER(1+Paramètres!D$2,1/12)*(1-Paramètres!D$7/12)</f>
        <v>20650</v>
      </c>
    </row>
    <row r="134" spans="1:4" x14ac:dyDescent="0.3">
      <c r="A134">
        <v>132</v>
      </c>
      <c r="B134">
        <f>(B133+Paramètres!B$5*(1-Paramètres!B$4))*POWER(1+Paramètres!B$2,1/12)*(1-Paramètres!B$7/12)</f>
        <v>25005.683457357118</v>
      </c>
      <c r="C134">
        <f>(C133+Paramètres!C$5*(1-Paramètres!C$4))*POWER(1+Paramètres!C$2,1/12)*(1-Paramètres!C$7/12)</f>
        <v>24243.471589888635</v>
      </c>
      <c r="D134">
        <f>(D133+Paramètres!D$5*(1-Paramètres!D$4))*POWER(1+Paramètres!D$2,1/12)*(1-Paramètres!D$7/12)</f>
        <v>20800</v>
      </c>
    </row>
    <row r="135" spans="1:4" x14ac:dyDescent="0.3">
      <c r="A135">
        <v>133</v>
      </c>
      <c r="B135">
        <f>(B134+Paramètres!B$5*(1-Paramètres!B$4))*POWER(1+Paramètres!B$2,1/12)*(1-Paramètres!B$7/12)</f>
        <v>25229.899040690143</v>
      </c>
      <c r="C135">
        <f>(C134+Paramètres!C$5*(1-Paramètres!C$4))*POWER(1+Paramètres!C$2,1/12)*(1-Paramètres!C$7/12)</f>
        <v>24445.908976567822</v>
      </c>
      <c r="D135">
        <f>(D134+Paramètres!D$5*(1-Paramètres!D$4))*POWER(1+Paramètres!D$2,1/12)*(1-Paramètres!D$7/12)</f>
        <v>20950</v>
      </c>
    </row>
    <row r="136" spans="1:4" x14ac:dyDescent="0.3">
      <c r="A136">
        <v>134</v>
      </c>
      <c r="B136">
        <f>(B135+Paramètres!B$5*(1-Paramètres!B$4))*POWER(1+Paramètres!B$2,1/12)*(1-Paramètres!B$7/12)</f>
        <v>25454.840498509413</v>
      </c>
      <c r="C136">
        <f>(C135+Paramètres!C$5*(1-Paramètres!C$4))*POWER(1+Paramètres!C$2,1/12)*(1-Paramètres!C$7/12)</f>
        <v>24648.781532447279</v>
      </c>
      <c r="D136">
        <f>(D135+Paramètres!D$5*(1-Paramètres!D$4))*POWER(1+Paramètres!D$2,1/12)*(1-Paramètres!D$7/12)</f>
        <v>21100</v>
      </c>
    </row>
    <row r="137" spans="1:4" x14ac:dyDescent="0.3">
      <c r="A137">
        <v>135</v>
      </c>
      <c r="B137">
        <f>(B136+Paramètres!B$5*(1-Paramètres!B$4))*POWER(1+Paramètres!B$2,1/12)*(1-Paramètres!B$7/12)</f>
        <v>25680.510180757614</v>
      </c>
      <c r="C137">
        <f>(C136+Paramètres!C$5*(1-Paramètres!C$4))*POWER(1+Paramètres!C$2,1/12)*(1-Paramètres!C$7/12)</f>
        <v>24852.090192987776</v>
      </c>
      <c r="D137">
        <f>(D136+Paramètres!D$5*(1-Paramètres!D$4))*POWER(1+Paramètres!D$2,1/12)*(1-Paramètres!D$7/12)</f>
        <v>21250</v>
      </c>
    </row>
    <row r="138" spans="1:4" x14ac:dyDescent="0.3">
      <c r="A138">
        <v>136</v>
      </c>
      <c r="B138">
        <f>(B137+Paramètres!B$5*(1-Paramètres!B$4))*POWER(1+Paramètres!B$2,1/12)*(1-Paramètres!B$7/12)</f>
        <v>25906.910444985118</v>
      </c>
      <c r="C138">
        <f>(C137+Paramètres!C$5*(1-Paramètres!C$4))*POWER(1+Paramètres!C$2,1/12)*(1-Paramètres!C$7/12)</f>
        <v>25055.835895660988</v>
      </c>
      <c r="D138">
        <f>(D137+Paramètres!D$5*(1-Paramètres!D$4))*POWER(1+Paramètres!D$2,1/12)*(1-Paramètres!D$7/12)</f>
        <v>21400</v>
      </c>
    </row>
    <row r="139" spans="1:4" x14ac:dyDescent="0.3">
      <c r="A139">
        <v>137</v>
      </c>
      <c r="B139">
        <f>(B138+Paramètres!B$5*(1-Paramètres!B$4))*POWER(1+Paramètres!B$2,1/12)*(1-Paramètres!B$7/12)</f>
        <v>26134.043656374626</v>
      </c>
      <c r="C139">
        <f>(C138+Paramètres!C$5*(1-Paramètres!C$4))*POWER(1+Paramètres!C$2,1/12)*(1-Paramètres!C$7/12)</f>
        <v>25260.019579953827</v>
      </c>
      <c r="D139">
        <f>(D138+Paramètres!D$5*(1-Paramètres!D$4))*POWER(1+Paramètres!D$2,1/12)*(1-Paramètres!D$7/12)</f>
        <v>21550</v>
      </c>
    </row>
    <row r="140" spans="1:4" x14ac:dyDescent="0.3">
      <c r="A140">
        <v>138</v>
      </c>
      <c r="B140">
        <f>(B139+Paramètres!B$5*(1-Paramètres!B$4))*POWER(1+Paramètres!B$2,1/12)*(1-Paramètres!B$7/12)</f>
        <v>26361.912187765873</v>
      </c>
      <c r="C140">
        <f>(C139+Paramètres!C$5*(1-Paramètres!C$4))*POWER(1+Paramètres!C$2,1/12)*(1-Paramètres!C$7/12)</f>
        <v>25464.642187372774</v>
      </c>
      <c r="D140">
        <f>(D139+Paramètres!D$5*(1-Paramètres!D$4))*POWER(1+Paramètres!D$2,1/12)*(1-Paramètres!D$7/12)</f>
        <v>21700</v>
      </c>
    </row>
    <row r="141" spans="1:4" x14ac:dyDescent="0.3">
      <c r="A141">
        <v>139</v>
      </c>
      <c r="B141">
        <f>(B140+Paramètres!B$5*(1-Paramètres!B$4))*POWER(1+Paramètres!B$2,1/12)*(1-Paramètres!B$7/12)</f>
        <v>26590.518419680415</v>
      </c>
      <c r="C141">
        <f>(C140+Paramètres!C$5*(1-Paramètres!C$4))*POWER(1+Paramètres!C$2,1/12)*(1-Paramètres!C$7/12)</f>
        <v>25669.704661448217</v>
      </c>
      <c r="D141">
        <f>(D140+Paramètres!D$5*(1-Paramètres!D$4))*POWER(1+Paramètres!D$2,1/12)*(1-Paramètres!D$7/12)</f>
        <v>21850</v>
      </c>
    </row>
    <row r="142" spans="1:4" x14ac:dyDescent="0.3">
      <c r="A142">
        <v>140</v>
      </c>
      <c r="B142">
        <f>(B141+Paramètres!B$5*(1-Paramètres!B$4))*POWER(1+Paramètres!B$2,1/12)*(1-Paramètres!B$7/12)</f>
        <v>26819.864740346486</v>
      </c>
      <c r="C142">
        <f>(C141+Paramètres!C$5*(1-Paramètres!C$4))*POWER(1+Paramètres!C$2,1/12)*(1-Paramètres!C$7/12)</f>
        <v>25875.207947738796</v>
      </c>
      <c r="D142">
        <f>(D141+Paramètres!D$5*(1-Paramètres!D$4))*POWER(1+Paramètres!D$2,1/12)*(1-Paramètres!D$7/12)</f>
        <v>22000</v>
      </c>
    </row>
    <row r="143" spans="1:4" x14ac:dyDescent="0.3">
      <c r="A143">
        <v>141</v>
      </c>
      <c r="B143">
        <f>(B142+Paramètres!B$5*(1-Paramètres!B$4))*POWER(1+Paramètres!B$2,1/12)*(1-Paramètres!B$7/12)</f>
        <v>27049.953545723973</v>
      </c>
      <c r="C143">
        <f>(C142+Paramètres!C$5*(1-Paramètres!C$4))*POWER(1+Paramètres!C$2,1/12)*(1-Paramètres!C$7/12)</f>
        <v>26081.152993835782</v>
      </c>
      <c r="D143">
        <f>(D142+Paramètres!D$5*(1-Paramètres!D$4))*POWER(1+Paramètres!D$2,1/12)*(1-Paramètres!D$7/12)</f>
        <v>22150</v>
      </c>
    </row>
    <row r="144" spans="1:4" x14ac:dyDescent="0.3">
      <c r="A144">
        <v>142</v>
      </c>
      <c r="B144">
        <f>(B143+Paramètres!B$5*(1-Paramètres!B$4))*POWER(1+Paramètres!B$2,1/12)*(1-Paramètres!B$7/12)</f>
        <v>27280.787239529422</v>
      </c>
      <c r="C144">
        <f>(C143+Paramètres!C$5*(1-Paramètres!C$4))*POWER(1+Paramètres!C$2,1/12)*(1-Paramètres!C$7/12)</f>
        <v>26287.540749367421</v>
      </c>
      <c r="D144">
        <f>(D143+Paramètres!D$5*(1-Paramètres!D$4))*POWER(1+Paramètres!D$2,1/12)*(1-Paramètres!D$7/12)</f>
        <v>22300</v>
      </c>
    </row>
    <row r="145" spans="1:4" x14ac:dyDescent="0.3">
      <c r="A145">
        <v>143</v>
      </c>
      <c r="B145">
        <f>(B144+Paramètres!B$5*(1-Paramètres!B$4))*POWER(1+Paramètres!B$2,1/12)*(1-Paramètres!B$7/12)</f>
        <v>27512.368233261164</v>
      </c>
      <c r="C145">
        <f>(C144+Paramètres!C$5*(1-Paramètres!C$4))*POWER(1+Paramètres!C$2,1/12)*(1-Paramètres!C$7/12)</f>
        <v>26494.372166003337</v>
      </c>
      <c r="D145">
        <f>(D144+Paramètres!D$5*(1-Paramètres!D$4))*POWER(1+Paramètres!D$2,1/12)*(1-Paramètres!D$7/12)</f>
        <v>22450</v>
      </c>
    </row>
    <row r="146" spans="1:4" x14ac:dyDescent="0.3">
      <c r="A146">
        <v>144</v>
      </c>
      <c r="B146">
        <f>(B145+Paramètres!B$5*(1-Paramètres!B$4))*POWER(1+Paramètres!B$2,1/12)*(1-Paramètres!B$7/12)</f>
        <v>27744.698946224504</v>
      </c>
      <c r="C146">
        <f>(C145+Paramètres!C$5*(1-Paramètres!C$4))*POWER(1+Paramètres!C$2,1/12)*(1-Paramètres!C$7/12)</f>
        <v>26701.648197458901</v>
      </c>
      <c r="D146">
        <f>(D145+Paramètres!D$5*(1-Paramètres!D$4))*POWER(1+Paramètres!D$2,1/12)*(1-Paramètres!D$7/12)</f>
        <v>22600</v>
      </c>
    </row>
    <row r="147" spans="1:4" x14ac:dyDescent="0.3">
      <c r="A147">
        <v>145</v>
      </c>
      <c r="B147">
        <f>(B146+Paramètres!B$5*(1-Paramètres!B$4))*POWER(1+Paramètres!B$2,1/12)*(1-Paramètres!B$7/12)</f>
        <v>27977.781805556995</v>
      </c>
      <c r="C147">
        <f>(C146+Paramètres!C$5*(1-Paramètres!C$4))*POWER(1+Paramètres!C$2,1/12)*(1-Paramètres!C$7/12)</f>
        <v>26909.36979949964</v>
      </c>
      <c r="D147">
        <f>(D146+Paramètres!D$5*(1-Paramètres!D$4))*POWER(1+Paramètres!D$2,1/12)*(1-Paramètres!D$7/12)</f>
        <v>22750</v>
      </c>
    </row>
    <row r="148" spans="1:4" x14ac:dyDescent="0.3">
      <c r="A148">
        <v>146</v>
      </c>
      <c r="B148">
        <f>(B147+Paramètres!B$5*(1-Paramètres!B$4))*POWER(1+Paramètres!B$2,1/12)*(1-Paramètres!B$7/12)</f>
        <v>28211.619246253791</v>
      </c>
      <c r="C148">
        <f>(C147+Paramètres!C$5*(1-Paramètres!C$4))*POWER(1+Paramètres!C$2,1/12)*(1-Paramètres!C$7/12)</f>
        <v>27117.53792994564</v>
      </c>
      <c r="D148">
        <f>(D147+Paramètres!D$5*(1-Paramètres!D$4))*POWER(1+Paramètres!D$2,1/12)*(1-Paramètres!D$7/12)</f>
        <v>22900</v>
      </c>
    </row>
    <row r="149" spans="1:4" x14ac:dyDescent="0.3">
      <c r="A149">
        <v>147</v>
      </c>
      <c r="B149">
        <f>(B148+Paramètres!B$5*(1-Paramètres!B$4))*POWER(1+Paramètres!B$2,1/12)*(1-Paramètres!B$7/12)</f>
        <v>28446.21371119309</v>
      </c>
      <c r="C149">
        <f>(C148+Paramètres!C$5*(1-Paramètres!C$4))*POWER(1+Paramètres!C$2,1/12)*(1-Paramètres!C$7/12)</f>
        <v>27326.153548675964</v>
      </c>
      <c r="D149">
        <f>(D148+Paramètres!D$5*(1-Paramètres!D$4))*POWER(1+Paramètres!D$2,1/12)*(1-Paramètres!D$7/12)</f>
        <v>23050</v>
      </c>
    </row>
    <row r="150" spans="1:4" x14ac:dyDescent="0.3">
      <c r="A150">
        <v>148</v>
      </c>
      <c r="B150">
        <f>(B149+Paramètres!B$5*(1-Paramètres!B$4))*POWER(1+Paramètres!B$2,1/12)*(1-Paramètres!B$7/12)</f>
        <v>28681.567651161655</v>
      </c>
      <c r="C150">
        <f>(C149+Paramètres!C$5*(1-Paramètres!C$4))*POWER(1+Paramètres!C$2,1/12)*(1-Paramètres!C$7/12)</f>
        <v>27535.217617633079</v>
      </c>
      <c r="D150">
        <f>(D149+Paramètres!D$5*(1-Paramètres!D$4))*POWER(1+Paramètres!D$2,1/12)*(1-Paramètres!D$7/12)</f>
        <v>23200</v>
      </c>
    </row>
    <row r="151" spans="1:4" x14ac:dyDescent="0.3">
      <c r="A151">
        <v>149</v>
      </c>
      <c r="B151">
        <f>(B150+Paramètres!B$5*(1-Paramètres!B$4))*POWER(1+Paramètres!B$2,1/12)*(1-Paramètres!B$7/12)</f>
        <v>28917.683524880413</v>
      </c>
      <c r="C151">
        <f>(C150+Paramètres!C$5*(1-Paramètres!C$4))*POWER(1+Paramètres!C$2,1/12)*(1-Paramètres!C$7/12)</f>
        <v>27744.731100827288</v>
      </c>
      <c r="D151">
        <f>(D150+Paramètres!D$5*(1-Paramètres!D$4))*POWER(1+Paramètres!D$2,1/12)*(1-Paramètres!D$7/12)</f>
        <v>23350</v>
      </c>
    </row>
    <row r="152" spans="1:4" x14ac:dyDescent="0.3">
      <c r="A152">
        <v>150</v>
      </c>
      <c r="B152">
        <f>(B151+Paramètres!B$5*(1-Paramètres!B$4))*POWER(1+Paramètres!B$2,1/12)*(1-Paramètres!B$7/12)</f>
        <v>29154.563799030137</v>
      </c>
      <c r="C152">
        <f>(C151+Paramètres!C$5*(1-Paramètres!C$4))*POWER(1+Paramètres!C$2,1/12)*(1-Paramètres!C$7/12)</f>
        <v>27954.694964341175</v>
      </c>
      <c r="D152">
        <f>(D151+Paramètres!D$5*(1-Paramètres!D$4))*POWER(1+Paramètres!D$2,1/12)*(1-Paramètres!D$7/12)</f>
        <v>23500</v>
      </c>
    </row>
    <row r="153" spans="1:4" x14ac:dyDescent="0.3">
      <c r="A153">
        <v>151</v>
      </c>
      <c r="B153">
        <f>(B152+Paramètres!B$5*(1-Paramètres!B$4))*POWER(1+Paramètres!B$2,1/12)*(1-Paramètres!B$7/12)</f>
        <v>29392.210948277228</v>
      </c>
      <c r="C153">
        <f>(C152+Paramètres!C$5*(1-Paramètres!C$4))*POWER(1+Paramètres!C$2,1/12)*(1-Paramètres!C$7/12)</f>
        <v>28165.11017633407</v>
      </c>
      <c r="D153">
        <f>(D152+Paramètres!D$5*(1-Paramètres!D$4))*POWER(1+Paramètres!D$2,1/12)*(1-Paramètres!D$7/12)</f>
        <v>23650</v>
      </c>
    </row>
    <row r="154" spans="1:4" x14ac:dyDescent="0.3">
      <c r="A154">
        <v>152</v>
      </c>
      <c r="B154">
        <f>(B153+Paramètres!B$5*(1-Paramètres!B$4))*POWER(1+Paramètres!B$2,1/12)*(1-Paramètres!B$7/12)</f>
        <v>29630.62745529956</v>
      </c>
      <c r="C154">
        <f>(C153+Paramètres!C$5*(1-Paramètres!C$4))*POWER(1+Paramètres!C$2,1/12)*(1-Paramètres!C$7/12)</f>
        <v>28375.977707046495</v>
      </c>
      <c r="D154">
        <f>(D153+Paramètres!D$5*(1-Paramètres!D$4))*POWER(1+Paramètres!D$2,1/12)*(1-Paramètres!D$7/12)</f>
        <v>23800</v>
      </c>
    </row>
    <row r="155" spans="1:4" x14ac:dyDescent="0.3">
      <c r="A155">
        <v>153</v>
      </c>
      <c r="B155">
        <f>(B154+Paramètres!B$5*(1-Paramètres!B$4))*POWER(1+Paramètres!B$2,1/12)*(1-Paramètres!B$7/12)</f>
        <v>29869.815810812408</v>
      </c>
      <c r="C155">
        <f>(C154+Paramètres!C$5*(1-Paramètres!C$4))*POWER(1+Paramètres!C$2,1/12)*(1-Paramètres!C$7/12)</f>
        <v>28587.298528804655</v>
      </c>
      <c r="D155">
        <f>(D154+Paramètres!D$5*(1-Paramètres!D$4))*POWER(1+Paramètres!D$2,1/12)*(1-Paramètres!D$7/12)</f>
        <v>23950</v>
      </c>
    </row>
    <row r="156" spans="1:4" x14ac:dyDescent="0.3">
      <c r="A156">
        <v>154</v>
      </c>
      <c r="B156">
        <f>(B155+Paramètres!B$5*(1-Paramètres!B$4))*POWER(1+Paramètres!B$2,1/12)*(1-Paramètres!B$7/12)</f>
        <v>30109.778513594491</v>
      </c>
      <c r="C156">
        <f>(C155+Paramètres!C$5*(1-Paramètres!C$4))*POWER(1+Paramètres!C$2,1/12)*(1-Paramètres!C$7/12)</f>
        <v>28799.073616024911</v>
      </c>
      <c r="D156">
        <f>(D155+Paramètres!D$5*(1-Paramètres!D$4))*POWER(1+Paramètres!D$2,1/12)*(1-Paramètres!D$7/12)</f>
        <v>24100</v>
      </c>
    </row>
    <row r="157" spans="1:4" x14ac:dyDescent="0.3">
      <c r="A157">
        <v>155</v>
      </c>
      <c r="B157">
        <f>(B156+Paramètres!B$5*(1-Paramètres!B$4))*POWER(1+Paramètres!B$2,1/12)*(1-Paramètres!B$7/12)</f>
        <v>30350.518070514052</v>
      </c>
      <c r="C157">
        <f>(C156+Paramètres!C$5*(1-Paramètres!C$4))*POWER(1+Paramètres!C$2,1/12)*(1-Paramètres!C$7/12)</f>
        <v>29011.303945218275</v>
      </c>
      <c r="D157">
        <f>(D156+Paramètres!D$5*(1-Paramètres!D$4))*POWER(1+Paramètres!D$2,1/12)*(1-Paramètres!D$7/12)</f>
        <v>24250</v>
      </c>
    </row>
    <row r="158" spans="1:4" x14ac:dyDescent="0.3">
      <c r="A158">
        <v>156</v>
      </c>
      <c r="B158">
        <f>(B157+Paramètres!B$5*(1-Paramètres!B$4))*POWER(1+Paramètres!B$2,1/12)*(1-Paramètres!B$7/12)</f>
        <v>30592.036996555064</v>
      </c>
      <c r="C158">
        <f>(C157+Paramètres!C$5*(1-Paramètres!C$4))*POWER(1+Paramètres!C$2,1/12)*(1-Paramètres!C$7/12)</f>
        <v>29223.99049499492</v>
      </c>
      <c r="D158">
        <f>(D157+Paramètres!D$5*(1-Paramètres!D$4))*POWER(1+Paramètres!D$2,1/12)*(1-Paramètres!D$7/12)</f>
        <v>24400</v>
      </c>
    </row>
    <row r="159" spans="1:4" x14ac:dyDescent="0.3">
      <c r="A159">
        <v>157</v>
      </c>
      <c r="B159">
        <f>(B158+Paramètres!B$5*(1-Paramètres!B$4))*POWER(1+Paramètres!B$2,1/12)*(1-Paramètres!B$7/12)</f>
        <v>30834.337814843493</v>
      </c>
      <c r="C159">
        <f>(C158+Paramètres!C$5*(1-Paramètres!C$4))*POWER(1+Paramètres!C$2,1/12)*(1-Paramètres!C$7/12)</f>
        <v>29437.134246068683</v>
      </c>
      <c r="D159">
        <f>(D158+Paramètres!D$5*(1-Paramètres!D$4))*POWER(1+Paramètres!D$2,1/12)*(1-Paramètres!D$7/12)</f>
        <v>24550</v>
      </c>
    </row>
    <row r="160" spans="1:4" x14ac:dyDescent="0.3">
      <c r="A160">
        <v>158</v>
      </c>
      <c r="B160">
        <f>(B159+Paramètres!B$5*(1-Paramètres!B$4))*POWER(1+Paramètres!B$2,1/12)*(1-Paramètres!B$7/12)</f>
        <v>31077.423056673659</v>
      </c>
      <c r="C160">
        <f>(C159+Paramètres!C$5*(1-Paramètres!C$4))*POWER(1+Paramètres!C$2,1/12)*(1-Paramètres!C$7/12)</f>
        <v>29650.736181261589</v>
      </c>
      <c r="D160">
        <f>(D159+Paramètres!D$5*(1-Paramètres!D$4))*POWER(1+Paramètres!D$2,1/12)*(1-Paramètres!D$7/12)</f>
        <v>24700</v>
      </c>
    </row>
    <row r="161" spans="1:4" x14ac:dyDescent="0.3">
      <c r="A161">
        <v>159</v>
      </c>
      <c r="B161">
        <f>(B160+Paramètres!B$5*(1-Paramètres!B$4))*POWER(1+Paramètres!B$2,1/12)*(1-Paramètres!B$7/12)</f>
        <v>31321.295261534691</v>
      </c>
      <c r="C161">
        <f>(C160+Paramètres!C$5*(1-Paramètres!C$4))*POWER(1+Paramètres!C$2,1/12)*(1-Paramètres!C$7/12)</f>
        <v>29864.79728550839</v>
      </c>
      <c r="D161">
        <f>(D160+Paramètres!D$5*(1-Paramètres!D$4))*POWER(1+Paramètres!D$2,1/12)*(1-Paramètres!D$7/12)</f>
        <v>24850</v>
      </c>
    </row>
    <row r="162" spans="1:4" x14ac:dyDescent="0.3">
      <c r="A162">
        <v>160</v>
      </c>
      <c r="B162">
        <f>(B161+Paramètres!B$5*(1-Paramètres!B$4))*POWER(1+Paramètres!B$2,1/12)*(1-Paramètres!B$7/12)</f>
        <v>31565.956977137044</v>
      </c>
      <c r="C162">
        <f>(C161+Paramètres!C$5*(1-Paramètres!C$4))*POWER(1+Paramètres!C$2,1/12)*(1-Paramètres!C$7/12)</f>
        <v>30079.318545861101</v>
      </c>
      <c r="D162">
        <f>(D161+Paramètres!D$5*(1-Paramètres!D$4))*POWER(1+Paramètres!D$2,1/12)*(1-Paramètres!D$7/12)</f>
        <v>25000</v>
      </c>
    </row>
    <row r="163" spans="1:4" x14ac:dyDescent="0.3">
      <c r="A163">
        <v>161</v>
      </c>
      <c r="B163">
        <f>(B162+Paramètres!B$5*(1-Paramètres!B$4))*POWER(1+Paramètres!B$2,1/12)*(1-Paramètres!B$7/12)</f>
        <v>31811.410759439117</v>
      </c>
      <c r="C163">
        <f>(C162+Paramètres!C$5*(1-Paramètres!C$4))*POWER(1+Paramètres!C$2,1/12)*(1-Paramètres!C$7/12)</f>
        <v>30294.300951493544</v>
      </c>
      <c r="D163">
        <f>(D162+Paramètres!D$5*(1-Paramètres!D$4))*POWER(1+Paramètres!D$2,1/12)*(1-Paramètres!D$7/12)</f>
        <v>25150</v>
      </c>
    </row>
    <row r="164" spans="1:4" x14ac:dyDescent="0.3">
      <c r="A164">
        <v>162</v>
      </c>
      <c r="B164">
        <f>(B163+Paramètres!B$5*(1-Paramètres!B$4))*POWER(1+Paramètres!B$2,1/12)*(1-Paramètres!B$7/12)</f>
        <v>32057.659172673957</v>
      </c>
      <c r="C164">
        <f>(C163+Paramètres!C$5*(1-Paramètres!C$4))*POWER(1+Paramètres!C$2,1/12)*(1-Paramètres!C$7/12)</f>
        <v>30509.745493705926</v>
      </c>
      <c r="D164">
        <f>(D163+Paramètres!D$5*(1-Paramètres!D$4))*POWER(1+Paramètres!D$2,1/12)*(1-Paramètres!D$7/12)</f>
        <v>25300</v>
      </c>
    </row>
    <row r="165" spans="1:4" x14ac:dyDescent="0.3">
      <c r="A165">
        <v>163</v>
      </c>
      <c r="B165">
        <f>(B164+Paramètres!B$5*(1-Paramètres!B$4))*POWER(1+Paramètres!B$2,1/12)*(1-Paramètres!B$7/12)</f>
        <v>32304.70478937605</v>
      </c>
      <c r="C165">
        <f>(C164+Paramètres!C$5*(1-Paramètres!C$4))*POWER(1+Paramètres!C$2,1/12)*(1-Paramètres!C$7/12)</f>
        <v>30725.653165929398</v>
      </c>
      <c r="D165">
        <f>(D164+Paramètres!D$5*(1-Paramètres!D$4))*POWER(1+Paramètres!D$2,1/12)*(1-Paramètres!D$7/12)</f>
        <v>25450</v>
      </c>
    </row>
    <row r="166" spans="1:4" x14ac:dyDescent="0.3">
      <c r="A166">
        <v>164</v>
      </c>
      <c r="B166">
        <f>(B165+Paramètres!B$5*(1-Paramètres!B$4))*POWER(1+Paramètres!B$2,1/12)*(1-Paramètres!B$7/12)</f>
        <v>32552.55019040819</v>
      </c>
      <c r="C166">
        <f>(C165+Paramètres!C$5*(1-Paramètres!C$4))*POWER(1+Paramètres!C$2,1/12)*(1-Paramètres!C$7/12)</f>
        <v>30942.024963730633</v>
      </c>
      <c r="D166">
        <f>(D165+Paramètres!D$5*(1-Paramètres!D$4))*POWER(1+Paramètres!D$2,1/12)*(1-Paramètres!D$7/12)</f>
        <v>25600</v>
      </c>
    </row>
    <row r="167" spans="1:4" x14ac:dyDescent="0.3">
      <c r="A167">
        <v>165</v>
      </c>
      <c r="B167">
        <f>(B166+Paramètres!B$5*(1-Paramètres!B$4))*POWER(1+Paramètres!B$2,1/12)*(1-Paramètres!B$7/12)</f>
        <v>32801.197964988445</v>
      </c>
      <c r="C167">
        <f>(C166+Paramètres!C$5*(1-Paramètres!C$4))*POWER(1+Paramètres!C$2,1/12)*(1-Paramètres!C$7/12)</f>
        <v>31158.861884816433</v>
      </c>
      <c r="D167">
        <f>(D166+Paramètres!D$5*(1-Paramètres!D$4))*POWER(1+Paramètres!D$2,1/12)*(1-Paramètres!D$7/12)</f>
        <v>25750</v>
      </c>
    </row>
    <row r="168" spans="1:4" x14ac:dyDescent="0.3">
      <c r="A168">
        <v>166</v>
      </c>
      <c r="B168">
        <f>(B167+Paramètres!B$5*(1-Paramètres!B$4))*POWER(1+Paramètres!B$2,1/12)*(1-Paramètres!B$7/12)</f>
        <v>33050.650710717215</v>
      </c>
      <c r="C168">
        <f>(C167+Paramètres!C$5*(1-Paramètres!C$4))*POWER(1+Paramètres!C$2,1/12)*(1-Paramètres!C$7/12)</f>
        <v>31376.16492903831</v>
      </c>
      <c r="D168">
        <f>(D167+Paramètres!D$5*(1-Paramètres!D$4))*POWER(1+Paramètres!D$2,1/12)*(1-Paramètres!D$7/12)</f>
        <v>25900</v>
      </c>
    </row>
    <row r="169" spans="1:4" x14ac:dyDescent="0.3">
      <c r="A169">
        <v>167</v>
      </c>
      <c r="B169">
        <f>(B168+Paramètres!B$5*(1-Paramètres!B$4))*POWER(1+Paramètres!B$2,1/12)*(1-Paramètres!B$7/12)</f>
        <v>33300.911033604345</v>
      </c>
      <c r="C169">
        <f>(C168+Paramètres!C$5*(1-Paramètres!C$4))*POWER(1+Paramètres!C$2,1/12)*(1-Paramètres!C$7/12)</f>
        <v>31593.935098397109</v>
      </c>
      <c r="D169">
        <f>(D168+Paramètres!D$5*(1-Paramètres!D$4))*POWER(1+Paramètres!D$2,1/12)*(1-Paramètres!D$7/12)</f>
        <v>26050</v>
      </c>
    </row>
    <row r="170" spans="1:4" x14ac:dyDescent="0.3">
      <c r="A170">
        <v>168</v>
      </c>
      <c r="B170">
        <f>(B169+Paramètres!B$5*(1-Paramètres!B$4))*POWER(1+Paramètres!B$2,1/12)*(1-Paramètres!B$7/12)</f>
        <v>33551.981548096366</v>
      </c>
      <c r="C170">
        <f>(C169+Paramètres!C$5*(1-Paramètres!C$4))*POWER(1+Paramètres!C$2,1/12)*(1-Paramètres!C$7/12)</f>
        <v>31812.173397047623</v>
      </c>
      <c r="D170">
        <f>(D169+Paramètres!D$5*(1-Paramètres!D$4))*POWER(1+Paramètres!D$2,1/12)*(1-Paramètres!D$7/12)</f>
        <v>26200</v>
      </c>
    </row>
    <row r="171" spans="1:4" x14ac:dyDescent="0.3">
      <c r="A171">
        <v>169</v>
      </c>
      <c r="B171">
        <f>(B170+Paramètres!B$5*(1-Paramètres!B$4))*POWER(1+Paramètres!B$2,1/12)*(1-Paramètres!B$7/12)</f>
        <v>33803.864877103813</v>
      </c>
      <c r="C171">
        <f>(C170+Paramètres!C$5*(1-Paramètres!C$4))*POWER(1+Paramètres!C$2,1/12)*(1-Paramètres!C$7/12)</f>
        <v>32030.880831303228</v>
      </c>
      <c r="D171">
        <f>(D170+Paramètres!D$5*(1-Paramètres!D$4))*POWER(1+Paramètres!D$2,1/12)*(1-Paramètres!D$7/12)</f>
        <v>26350</v>
      </c>
    </row>
    <row r="172" spans="1:4" x14ac:dyDescent="0.3">
      <c r="A172">
        <v>170</v>
      </c>
      <c r="B172">
        <f>(B171+Paramètres!B$5*(1-Paramètres!B$4))*POWER(1+Paramètres!B$2,1/12)*(1-Paramètres!B$7/12)</f>
        <v>34056.563652028621</v>
      </c>
      <c r="C172">
        <f>(C171+Paramètres!C$5*(1-Paramètres!C$4))*POWER(1+Paramètres!C$2,1/12)*(1-Paramètres!C$7/12)</f>
        <v>32250.058409640515</v>
      </c>
      <c r="D172">
        <f>(D171+Paramètres!D$5*(1-Paramètres!D$4))*POWER(1+Paramètres!D$2,1/12)*(1-Paramètres!D$7/12)</f>
        <v>26500</v>
      </c>
    </row>
    <row r="173" spans="1:4" x14ac:dyDescent="0.3">
      <c r="A173">
        <v>171</v>
      </c>
      <c r="B173">
        <f>(B172+Paramètres!B$5*(1-Paramètres!B$4))*POWER(1+Paramètres!B$2,1/12)*(1-Paramètres!B$7/12)</f>
        <v>34310.080512791603</v>
      </c>
      <c r="C173">
        <f>(C172+Paramètres!C$5*(1-Paramètres!C$4))*POWER(1+Paramètres!C$2,1/12)*(1-Paramètres!C$7/12)</f>
        <v>32469.707142703945</v>
      </c>
      <c r="D173">
        <f>(D172+Paramètres!D$5*(1-Paramètres!D$4))*POWER(1+Paramètres!D$2,1/12)*(1-Paramètres!D$7/12)</f>
        <v>26650</v>
      </c>
    </row>
    <row r="174" spans="1:4" x14ac:dyDescent="0.3">
      <c r="A174">
        <v>172</v>
      </c>
      <c r="B174">
        <f>(B173+Paramètres!B$5*(1-Paramètres!B$4))*POWER(1+Paramètres!B$2,1/12)*(1-Paramètres!B$7/12)</f>
        <v>34564.418107860045</v>
      </c>
      <c r="C174">
        <f>(C173+Paramètres!C$5*(1-Paramètres!C$4))*POWER(1+Paramètres!C$2,1/12)*(1-Paramètres!C$7/12)</f>
        <v>32689.828043310517</v>
      </c>
      <c r="D174">
        <f>(D173+Paramètres!D$5*(1-Paramètres!D$4))*POWER(1+Paramètres!D$2,1/12)*(1-Paramètres!D$7/12)</f>
        <v>26800</v>
      </c>
    </row>
    <row r="175" spans="1:4" x14ac:dyDescent="0.3">
      <c r="A175">
        <v>173</v>
      </c>
      <c r="B175">
        <f>(B174+Paramètres!B$5*(1-Paramètres!B$4))*POWER(1+Paramètres!B$2,1/12)*(1-Paramètres!B$7/12)</f>
        <v>34819.579094275367</v>
      </c>
      <c r="C175">
        <f>(C174+Paramètres!C$5*(1-Paramètres!C$4))*POWER(1+Paramètres!C$2,1/12)*(1-Paramètres!C$7/12)</f>
        <v>32910.422126454418</v>
      </c>
      <c r="D175">
        <f>(D174+Paramètres!D$5*(1-Paramètres!D$4))*POWER(1+Paramètres!D$2,1/12)*(1-Paramètres!D$7/12)</f>
        <v>26950</v>
      </c>
    </row>
    <row r="176" spans="1:4" x14ac:dyDescent="0.3">
      <c r="A176">
        <v>174</v>
      </c>
      <c r="B176">
        <f>(B175+Paramètres!B$5*(1-Paramètres!B$4))*POWER(1+Paramètres!B$2,1/12)*(1-Paramètres!B$7/12)</f>
        <v>35075.566137680886</v>
      </c>
      <c r="C176">
        <f>(C175+Paramètres!C$5*(1-Paramètres!C$4))*POWER(1+Paramètres!C$2,1/12)*(1-Paramètres!C$7/12)</f>
        <v>33131.490409311729</v>
      </c>
      <c r="D176">
        <f>(D175+Paramètres!D$5*(1-Paramètres!D$4))*POWER(1+Paramètres!D$2,1/12)*(1-Paramètres!D$7/12)</f>
        <v>27100</v>
      </c>
    </row>
    <row r="177" spans="1:4" x14ac:dyDescent="0.3">
      <c r="A177">
        <v>175</v>
      </c>
      <c r="B177">
        <f>(B176+Paramètres!B$5*(1-Paramètres!B$4))*POWER(1+Paramètres!B$2,1/12)*(1-Paramètres!B$7/12)</f>
        <v>35332.381912349665</v>
      </c>
      <c r="C177">
        <f>(C176+Paramètres!C$5*(1-Paramètres!C$4))*POWER(1+Paramètres!C$2,1/12)*(1-Paramètres!C$7/12)</f>
        <v>33353.033911245097</v>
      </c>
      <c r="D177">
        <f>(D176+Paramètres!D$5*(1-Paramètres!D$4))*POWER(1+Paramètres!D$2,1/12)*(1-Paramètres!D$7/12)</f>
        <v>27250</v>
      </c>
    </row>
    <row r="178" spans="1:4" x14ac:dyDescent="0.3">
      <c r="A178">
        <v>176</v>
      </c>
      <c r="B178">
        <f>(B177+Paramètres!B$5*(1-Paramètres!B$4))*POWER(1+Paramètres!B$2,1/12)*(1-Paramètres!B$7/12)</f>
        <v>35590.029101212429</v>
      </c>
      <c r="C178">
        <f>(C177+Paramètres!C$5*(1-Paramètres!C$4))*POWER(1+Paramètres!C$2,1/12)*(1-Paramètres!C$7/12)</f>
        <v>33575.053653808434</v>
      </c>
      <c r="D178">
        <f>(D177+Paramètres!D$5*(1-Paramètres!D$4))*POWER(1+Paramètres!D$2,1/12)*(1-Paramètres!D$7/12)</f>
        <v>27400</v>
      </c>
    </row>
    <row r="179" spans="1:4" x14ac:dyDescent="0.3">
      <c r="A179">
        <v>177</v>
      </c>
      <c r="B179">
        <f>(B178+Paramètres!B$5*(1-Paramètres!B$4))*POWER(1+Paramètres!B$2,1/12)*(1-Paramètres!B$7/12)</f>
        <v>35848.510395885634</v>
      </c>
      <c r="C179">
        <f>(C178+Paramètres!C$5*(1-Paramètres!C$4))*POWER(1+Paramètres!C$2,1/12)*(1-Paramètres!C$7/12)</f>
        <v>33797.550660751644</v>
      </c>
      <c r="D179">
        <f>(D178+Paramètres!D$5*(1-Paramètres!D$4))*POWER(1+Paramètres!D$2,1/12)*(1-Paramètres!D$7/12)</f>
        <v>27550</v>
      </c>
    </row>
    <row r="180" spans="1:4" x14ac:dyDescent="0.3">
      <c r="A180">
        <v>178</v>
      </c>
      <c r="B180">
        <f>(B179+Paramètres!B$5*(1-Paramètres!B$4))*POWER(1+Paramètres!B$2,1/12)*(1-Paramètres!B$7/12)</f>
        <v>36107.828496699542</v>
      </c>
      <c r="C180">
        <f>(C179+Paramètres!C$5*(1-Paramètres!C$4))*POWER(1+Paramètres!C$2,1/12)*(1-Paramètres!C$7/12)</f>
        <v>34020.525958025326</v>
      </c>
      <c r="D180">
        <f>(D179+Paramètres!D$5*(1-Paramètres!D$4))*POWER(1+Paramètres!D$2,1/12)*(1-Paramètres!D$7/12)</f>
        <v>27700</v>
      </c>
    </row>
    <row r="181" spans="1:4" x14ac:dyDescent="0.3">
      <c r="A181">
        <v>179</v>
      </c>
      <c r="B181">
        <f>(B180+Paramètres!B$5*(1-Paramètres!B$4))*POWER(1+Paramètres!B$2,1/12)*(1-Paramètres!B$7/12)</f>
        <v>36367.986112726452</v>
      </c>
      <c r="C181">
        <f>(C180+Paramètres!C$5*(1-Paramètres!C$4))*POWER(1+Paramètres!C$2,1/12)*(1-Paramètres!C$7/12)</f>
        <v>34243.980573785506</v>
      </c>
      <c r="D181">
        <f>(D180+Paramètres!D$5*(1-Paramètres!D$4))*POWER(1+Paramètres!D$2,1/12)*(1-Paramètres!D$7/12)</f>
        <v>27850</v>
      </c>
    </row>
    <row r="182" spans="1:4" x14ac:dyDescent="0.3">
      <c r="A182">
        <v>180</v>
      </c>
      <c r="B182">
        <f>(B181+Paramètres!B$5*(1-Paramètres!B$4))*POWER(1+Paramètres!B$2,1/12)*(1-Paramètres!B$7/12)</f>
        <v>36628.985961809019</v>
      </c>
      <c r="C182">
        <f>(C181+Paramètres!C$5*(1-Paramètres!C$4))*POWER(1+Paramètres!C$2,1/12)*(1-Paramètres!C$7/12)</f>
        <v>34467.915538398396</v>
      </c>
      <c r="D182">
        <f>(D181+Paramètres!D$5*(1-Paramètres!D$4))*POWER(1+Paramètres!D$2,1/12)*(1-Paramètres!D$7/12)</f>
        <v>28000</v>
      </c>
    </row>
    <row r="183" spans="1:4" x14ac:dyDescent="0.3">
      <c r="A183">
        <v>181</v>
      </c>
      <c r="B183">
        <f>(B182+Paramètres!B$5*(1-Paramètres!B$4))*POWER(1+Paramètres!B$2,1/12)*(1-Paramètres!B$7/12)</f>
        <v>36890.830770588618</v>
      </c>
      <c r="C183">
        <f>(C182+Paramètres!C$5*(1-Paramètres!C$4))*POWER(1+Paramètres!C$2,1/12)*(1-Paramètres!C$7/12)</f>
        <v>34692.331884445128</v>
      </c>
      <c r="D183">
        <f>(D182+Paramètres!D$5*(1-Paramètres!D$4))*POWER(1+Paramètres!D$2,1/12)*(1-Paramètres!D$7/12)</f>
        <v>28150</v>
      </c>
    </row>
    <row r="184" spans="1:4" x14ac:dyDescent="0.3">
      <c r="A184">
        <v>182</v>
      </c>
      <c r="B184">
        <f>(B183+Paramètres!B$5*(1-Paramètres!B$4))*POWER(1+Paramètres!B$2,1/12)*(1-Paramètres!B$7/12)</f>
        <v>37153.523274533836</v>
      </c>
      <c r="C184">
        <f>(C183+Paramètres!C$5*(1-Paramètres!C$4))*POWER(1+Paramètres!C$2,1/12)*(1-Paramètres!C$7/12)</f>
        <v>34917.23064672653</v>
      </c>
      <c r="D184">
        <f>(D183+Paramètres!D$5*(1-Paramètres!D$4))*POWER(1+Paramètres!D$2,1/12)*(1-Paramètres!D$7/12)</f>
        <v>28300</v>
      </c>
    </row>
    <row r="185" spans="1:4" x14ac:dyDescent="0.3">
      <c r="A185">
        <v>183</v>
      </c>
      <c r="B185">
        <f>(B184+Paramètres!B$5*(1-Paramètres!B$4))*POWER(1+Paramètres!B$2,1/12)*(1-Paramètres!B$7/12)</f>
        <v>37417.066217969063</v>
      </c>
      <c r="C185">
        <f>(C184+Paramètres!C$5*(1-Paramètres!C$4))*POWER(1+Paramètres!C$2,1/12)*(1-Paramètres!C$7/12)</f>
        <v>35142.612862267873</v>
      </c>
      <c r="D185">
        <f>(D184+Paramètres!D$5*(1-Paramètres!D$4))*POWER(1+Paramètres!D$2,1/12)*(1-Paramètres!D$7/12)</f>
        <v>28450</v>
      </c>
    </row>
    <row r="186" spans="1:4" x14ac:dyDescent="0.3">
      <c r="A186">
        <v>184</v>
      </c>
      <c r="B186">
        <f>(B185+Paramètres!B$5*(1-Paramètres!B$4))*POWER(1+Paramètres!B$2,1/12)*(1-Paramètres!B$7/12)</f>
        <v>37681.462354103147</v>
      </c>
      <c r="C186">
        <f>(C185+Paramètres!C$5*(1-Paramètres!C$4))*POWER(1+Paramètres!C$2,1/12)*(1-Paramètres!C$7/12)</f>
        <v>35368.479570323674</v>
      </c>
      <c r="D186">
        <f>(D185+Paramètres!D$5*(1-Paramètres!D$4))*POWER(1+Paramètres!D$2,1/12)*(1-Paramètres!D$7/12)</f>
        <v>28600</v>
      </c>
    </row>
    <row r="187" spans="1:4" x14ac:dyDescent="0.3">
      <c r="A187">
        <v>185</v>
      </c>
      <c r="B187">
        <f>(B186+Paramètres!B$5*(1-Paramètres!B$4))*POWER(1+Paramètres!B$2,1/12)*(1-Paramètres!B$7/12)</f>
        <v>37946.714445058162</v>
      </c>
      <c r="C187">
        <f>(C186+Paramètres!C$5*(1-Paramètres!C$4))*POWER(1+Paramètres!C$2,1/12)*(1-Paramètres!C$7/12)</f>
        <v>35594.831812382479</v>
      </c>
      <c r="D187">
        <f>(D186+Paramètres!D$5*(1-Paramètres!D$4))*POWER(1+Paramètres!D$2,1/12)*(1-Paramètres!D$7/12)</f>
        <v>28750</v>
      </c>
    </row>
    <row r="188" spans="1:4" x14ac:dyDescent="0.3">
      <c r="A188">
        <v>186</v>
      </c>
      <c r="B188">
        <f>(B187+Paramètres!B$5*(1-Paramètres!B$4))*POWER(1+Paramètres!B$2,1/12)*(1-Paramètres!B$7/12)</f>
        <v>38212.825261898251</v>
      </c>
      <c r="C188">
        <f>(C187+Paramètres!C$5*(1-Paramètres!C$4))*POWER(1+Paramètres!C$2,1/12)*(1-Paramètres!C$7/12)</f>
        <v>35821.670632171677</v>
      </c>
      <c r="D188">
        <f>(D187+Paramètres!D$5*(1-Paramètres!D$4))*POWER(1+Paramètres!D$2,1/12)*(1-Paramètres!D$7/12)</f>
        <v>28900</v>
      </c>
    </row>
    <row r="189" spans="1:4" x14ac:dyDescent="0.3">
      <c r="A189">
        <v>187</v>
      </c>
      <c r="B189">
        <f>(B188+Paramètres!B$5*(1-Paramètres!B$4))*POWER(1+Paramètres!B$2,1/12)*(1-Paramètres!B$7/12)</f>
        <v>38479.797584658612</v>
      </c>
      <c r="C189">
        <f>(C188+Paramètres!C$5*(1-Paramètres!C$4))*POWER(1+Paramètres!C$2,1/12)*(1-Paramètres!C$7/12)</f>
        <v>36048.997075662293</v>
      </c>
      <c r="D189">
        <f>(D188+Paramètres!D$5*(1-Paramètres!D$4))*POWER(1+Paramètres!D$2,1/12)*(1-Paramètres!D$7/12)</f>
        <v>29050</v>
      </c>
    </row>
    <row r="190" spans="1:4" x14ac:dyDescent="0.3">
      <c r="A190">
        <v>188</v>
      </c>
      <c r="B190">
        <f>(B189+Paramètres!B$5*(1-Paramètres!B$4))*POWER(1+Paramètres!B$2,1/12)*(1-Paramètres!B$7/12)</f>
        <v>38747.634202374502</v>
      </c>
      <c r="C190">
        <f>(C189+Paramètres!C$5*(1-Paramètres!C$4))*POWER(1+Paramètres!C$2,1/12)*(1-Paramètres!C$7/12)</f>
        <v>36276.812191073826</v>
      </c>
      <c r="D190">
        <f>(D189+Paramètres!D$5*(1-Paramètres!D$4))*POWER(1+Paramètres!D$2,1/12)*(1-Paramètres!D$7/12)</f>
        <v>29200</v>
      </c>
    </row>
    <row r="191" spans="1:4" x14ac:dyDescent="0.3">
      <c r="A191">
        <v>189</v>
      </c>
      <c r="B191">
        <f>(B190+Paramètres!B$5*(1-Paramètres!B$4))*POWER(1+Paramètres!B$2,1/12)*(1-Paramètres!B$7/12)</f>
        <v>39016.337913110387</v>
      </c>
      <c r="C191">
        <f>(C190+Paramètres!C$5*(1-Paramètres!C$4))*POWER(1+Paramètres!C$2,1/12)*(1-Paramètres!C$7/12)</f>
        <v>36505.117028879089</v>
      </c>
      <c r="D191">
        <f>(D190+Paramètres!D$5*(1-Paramètres!D$4))*POWER(1+Paramètres!D$2,1/12)*(1-Paramètres!D$7/12)</f>
        <v>29350</v>
      </c>
    </row>
    <row r="192" spans="1:4" x14ac:dyDescent="0.3">
      <c r="A192">
        <v>190</v>
      </c>
      <c r="B192">
        <f>(B191+Paramètres!B$5*(1-Paramètres!B$4))*POWER(1+Paramètres!B$2,1/12)*(1-Paramètres!B$7/12)</f>
        <v>39285.911523989162</v>
      </c>
      <c r="C192">
        <f>(C191+Paramètres!C$5*(1-Paramètres!C$4))*POWER(1+Paramètres!C$2,1/12)*(1-Paramètres!C$7/12)</f>
        <v>36733.912641809024</v>
      </c>
      <c r="D192">
        <f>(D191+Paramètres!D$5*(1-Paramètres!D$4))*POWER(1+Paramètres!D$2,1/12)*(1-Paramètres!D$7/12)</f>
        <v>29500</v>
      </c>
    </row>
    <row r="193" spans="1:4" x14ac:dyDescent="0.3">
      <c r="A193">
        <v>191</v>
      </c>
      <c r="B193">
        <f>(B192+Paramètres!B$5*(1-Paramètres!B$4))*POWER(1+Paramètres!B$2,1/12)*(1-Paramètres!B$7/12)</f>
        <v>39556.357851221524</v>
      </c>
      <c r="C193">
        <f>(C192+Paramètres!C$5*(1-Paramètres!C$4))*POWER(1+Paramètres!C$2,1/12)*(1-Paramètres!C$7/12)</f>
        <v>36963.200084857584</v>
      </c>
      <c r="D193">
        <f>(D192+Paramètres!D$5*(1-Paramètres!D$4))*POWER(1+Paramètres!D$2,1/12)*(1-Paramètres!D$7/12)</f>
        <v>29650</v>
      </c>
    </row>
    <row r="194" spans="1:4" x14ac:dyDescent="0.3">
      <c r="A194">
        <v>192</v>
      </c>
      <c r="B194">
        <f>(B193+Paramètres!B$5*(1-Paramètres!B$4))*POWER(1+Paramètres!B$2,1/12)*(1-Paramètres!B$7/12)</f>
        <v>39827.679720135318</v>
      </c>
      <c r="C194">
        <f>(C193+Paramètres!C$5*(1-Paramètres!C$4))*POWER(1+Paramètres!C$2,1/12)*(1-Paramètres!C$7/12)</f>
        <v>37192.980415286584</v>
      </c>
      <c r="D194">
        <f>(D193+Paramètres!D$5*(1-Paramètres!D$4))*POWER(1+Paramètres!D$2,1/12)*(1-Paramètres!D$7/12)</f>
        <v>29800</v>
      </c>
    </row>
    <row r="195" spans="1:4" x14ac:dyDescent="0.3">
      <c r="A195">
        <v>193</v>
      </c>
      <c r="B195">
        <f>(B194+Paramètres!B$5*(1-Paramètres!B$4))*POWER(1+Paramètres!B$2,1/12)*(1-Paramètres!B$7/12)</f>
        <v>40099.879965205117</v>
      </c>
      <c r="C195">
        <f>(C194+Paramètres!C$5*(1-Paramètres!C$4))*POWER(1+Paramètres!C$2,1/12)*(1-Paramètres!C$7/12)</f>
        <v>37423.25469263058</v>
      </c>
      <c r="D195">
        <f>(D194+Paramètres!D$5*(1-Paramètres!D$4))*POWER(1+Paramètres!D$2,1/12)*(1-Paramètres!D$7/12)</f>
        <v>29950</v>
      </c>
    </row>
    <row r="196" spans="1:4" x14ac:dyDescent="0.3">
      <c r="A196">
        <v>194</v>
      </c>
      <c r="B196">
        <f>(B195+Paramètres!B$5*(1-Paramètres!B$4))*POWER(1+Paramètres!B$2,1/12)*(1-Paramètres!B$7/12)</f>
        <v>40372.961430081807</v>
      </c>
      <c r="C196">
        <f>(C195+Paramètres!C$5*(1-Paramètres!C$4))*POWER(1+Paramètres!C$2,1/12)*(1-Paramètres!C$7/12)</f>
        <v>37654.023978701764</v>
      </c>
      <c r="D196">
        <f>(D195+Paramètres!D$5*(1-Paramètres!D$4))*POWER(1+Paramètres!D$2,1/12)*(1-Paramètres!D$7/12)</f>
        <v>30100</v>
      </c>
    </row>
    <row r="197" spans="1:4" x14ac:dyDescent="0.3">
      <c r="A197">
        <v>195</v>
      </c>
      <c r="B197">
        <f>(B196+Paramètres!B$5*(1-Paramètres!B$4))*POWER(1+Paramètres!B$2,1/12)*(1-Paramètres!B$7/12)</f>
        <v>40646.926967622276</v>
      </c>
      <c r="C197">
        <f>(C196+Paramètres!C$5*(1-Paramètres!C$4))*POWER(1+Paramètres!C$2,1/12)*(1-Paramètres!C$7/12)</f>
        <v>37885.289337594841</v>
      </c>
      <c r="D197">
        <f>(D196+Paramètres!D$5*(1-Paramètres!D$4))*POWER(1+Paramètres!D$2,1/12)*(1-Paramètres!D$7/12)</f>
        <v>30250</v>
      </c>
    </row>
    <row r="198" spans="1:4" x14ac:dyDescent="0.3">
      <c r="A198">
        <v>196</v>
      </c>
      <c r="B198">
        <f>(B197+Paramètres!B$5*(1-Paramètres!B$4))*POWER(1+Paramètres!B$2,1/12)*(1-Paramètres!B$7/12)</f>
        <v>40921.779439919264</v>
      </c>
      <c r="C198">
        <f>(C197+Paramètres!C$5*(1-Paramètres!C$4))*POWER(1+Paramètres!C$2,1/12)*(1-Paramètres!C$7/12)</f>
        <v>38117.051835691949</v>
      </c>
      <c r="D198">
        <f>(D197+Paramètres!D$5*(1-Paramètres!D$4))*POWER(1+Paramètres!D$2,1/12)*(1-Paramètres!D$7/12)</f>
        <v>30400</v>
      </c>
    </row>
    <row r="199" spans="1:4" x14ac:dyDescent="0.3">
      <c r="A199">
        <v>197</v>
      </c>
      <c r="B199">
        <f>(B198+Paramètres!B$5*(1-Paramètres!B$4))*POWER(1+Paramètres!B$2,1/12)*(1-Paramètres!B$7/12)</f>
        <v>41197.52171833122</v>
      </c>
      <c r="C199">
        <f>(C198+Paramètres!C$5*(1-Paramètres!C$4))*POWER(1+Paramètres!C$2,1/12)*(1-Paramètres!C$7/12)</f>
        <v>38349.312541667576</v>
      </c>
      <c r="D199">
        <f>(D198+Paramètres!D$5*(1-Paramètres!D$4))*POWER(1+Paramètres!D$2,1/12)*(1-Paramètres!D$7/12)</f>
        <v>30550</v>
      </c>
    </row>
    <row r="200" spans="1:4" x14ac:dyDescent="0.3">
      <c r="A200">
        <v>198</v>
      </c>
      <c r="B200">
        <f>(B199+Paramètres!B$5*(1-Paramètres!B$4))*POWER(1+Paramètres!B$2,1/12)*(1-Paramètres!B$7/12)</f>
        <v>41474.156683512323</v>
      </c>
      <c r="C200">
        <f>(C199+Paramètres!C$5*(1-Paramètres!C$4))*POWER(1+Paramètres!C$2,1/12)*(1-Paramètres!C$7/12)</f>
        <v>38582.072526493481</v>
      </c>
      <c r="D200">
        <f>(D199+Paramètres!D$5*(1-Paramètres!D$4))*POWER(1+Paramètres!D$2,1/12)*(1-Paramètres!D$7/12)</f>
        <v>30700</v>
      </c>
    </row>
    <row r="201" spans="1:4" x14ac:dyDescent="0.3">
      <c r="A201">
        <v>199</v>
      </c>
      <c r="B201">
        <f>(B200+Paramètres!B$5*(1-Paramètres!B$4))*POWER(1+Paramètres!B$2,1/12)*(1-Paramètres!B$7/12)</f>
        <v>41751.687225442576</v>
      </c>
      <c r="C201">
        <f>(C200+Paramètres!C$5*(1-Paramètres!C$4))*POWER(1+Paramètres!C$2,1/12)*(1-Paramètres!C$7/12)</f>
        <v>38815.332863443633</v>
      </c>
      <c r="D201">
        <f>(D200+Paramètres!D$5*(1-Paramètres!D$4))*POWER(1+Paramètres!D$2,1/12)*(1-Paramètres!D$7/12)</f>
        <v>30850</v>
      </c>
    </row>
    <row r="202" spans="1:4" x14ac:dyDescent="0.3">
      <c r="A202">
        <v>200</v>
      </c>
      <c r="B202">
        <f>(B201+Paramètres!B$5*(1-Paramètres!B$4))*POWER(1+Paramètres!B$2,1/12)*(1-Paramètres!B$7/12)</f>
        <v>42030.11624345796</v>
      </c>
      <c r="C202">
        <f>(C201+Paramètres!C$5*(1-Paramètres!C$4))*POWER(1+Paramètres!C$2,1/12)*(1-Paramètres!C$7/12)</f>
        <v>39049.094628099163</v>
      </c>
      <c r="D202">
        <f>(D201+Paramètres!D$5*(1-Paramètres!D$4))*POWER(1+Paramètres!D$2,1/12)*(1-Paramètres!D$7/12)</f>
        <v>31000</v>
      </c>
    </row>
    <row r="203" spans="1:4" x14ac:dyDescent="0.3">
      <c r="A203">
        <v>201</v>
      </c>
      <c r="B203">
        <f>(B202+Paramètres!B$5*(1-Paramètres!B$4))*POWER(1+Paramètres!B$2,1/12)*(1-Paramètres!B$7/12)</f>
        <v>42309.44664628079</v>
      </c>
      <c r="C203">
        <f>(C202+Paramètres!C$5*(1-Paramètres!C$4))*POWER(1+Paramètres!C$2,1/12)*(1-Paramètres!C$7/12)</f>
        <v>39283.358898353326</v>
      </c>
      <c r="D203">
        <f>(D202+Paramètres!D$5*(1-Paramètres!D$4))*POWER(1+Paramètres!D$2,1/12)*(1-Paramètres!D$7/12)</f>
        <v>31150</v>
      </c>
    </row>
    <row r="204" spans="1:4" x14ac:dyDescent="0.3">
      <c r="A204">
        <v>202</v>
      </c>
      <c r="B204">
        <f>(B203+Paramètres!B$5*(1-Paramètres!B$4))*POWER(1+Paramètres!B$2,1/12)*(1-Paramètres!B$7/12)</f>
        <v>42589.681352050036</v>
      </c>
      <c r="C204">
        <f>(C203+Paramètres!C$5*(1-Paramètres!C$4))*POWER(1+Paramètres!C$2,1/12)*(1-Paramètres!C$7/12)</f>
        <v>39518.126754416473</v>
      </c>
      <c r="D204">
        <f>(D203+Paramètres!D$5*(1-Paramètres!D$4))*POWER(1+Paramètres!D$2,1/12)*(1-Paramètres!D$7/12)</f>
        <v>31300</v>
      </c>
    </row>
    <row r="205" spans="1:4" x14ac:dyDescent="0.3">
      <c r="A205">
        <v>203</v>
      </c>
      <c r="B205">
        <f>(B204+Paramètres!B$5*(1-Paramètres!B$4))*POWER(1+Paramètres!B$2,1/12)*(1-Paramètres!B$7/12)</f>
        <v>42870.82328835185</v>
      </c>
      <c r="C205">
        <f>(C204+Paramètres!C$5*(1-Paramètres!C$4))*POWER(1+Paramètres!C$2,1/12)*(1-Paramètres!C$7/12)</f>
        <v>39753.399278821016</v>
      </c>
      <c r="D205">
        <f>(D204+Paramètres!D$5*(1-Paramètres!D$4))*POWER(1+Paramètres!D$2,1/12)*(1-Paramètres!D$7/12)</f>
        <v>31450</v>
      </c>
    </row>
    <row r="206" spans="1:4" x14ac:dyDescent="0.3">
      <c r="A206">
        <v>204</v>
      </c>
      <c r="B206">
        <f>(B205+Paramètres!B$5*(1-Paramètres!B$4))*POWER(1+Paramètres!B$2,1/12)*(1-Paramètres!B$7/12)</f>
        <v>43152.875392250142</v>
      </c>
      <c r="C206">
        <f>(C205+Paramètres!C$5*(1-Paramètres!C$4))*POWER(1+Paramètres!C$2,1/12)*(1-Paramètres!C$7/12)</f>
        <v>39989.177556426439</v>
      </c>
      <c r="D206">
        <f>(D205+Paramètres!D$5*(1-Paramètres!D$4))*POWER(1+Paramètres!D$2,1/12)*(1-Paramètres!D$7/12)</f>
        <v>31600</v>
      </c>
    </row>
    <row r="207" spans="1:4" x14ac:dyDescent="0.3">
      <c r="A207">
        <v>205</v>
      </c>
      <c r="B207">
        <f>(B206+Paramètres!B$5*(1-Paramètres!B$4))*POWER(1+Paramètres!B$2,1/12)*(1-Paramètres!B$7/12)</f>
        <v>43435.840610317246</v>
      </c>
      <c r="C207">
        <f>(C206+Paramètres!C$5*(1-Paramètres!C$4))*POWER(1+Paramètres!C$2,1/12)*(1-Paramètres!C$7/12)</f>
        <v>40225.462674424292</v>
      </c>
      <c r="D207">
        <f>(D206+Paramètres!D$5*(1-Paramètres!D$4))*POWER(1+Paramètres!D$2,1/12)*(1-Paramètres!D$7/12)</f>
        <v>31750</v>
      </c>
    </row>
    <row r="208" spans="1:4" x14ac:dyDescent="0.3">
      <c r="A208">
        <v>206</v>
      </c>
      <c r="B208">
        <f>(B207+Paramètres!B$5*(1-Paramètres!B$4))*POWER(1+Paramètres!B$2,1/12)*(1-Paramètres!B$7/12)</f>
        <v>43719.721898664728</v>
      </c>
      <c r="C208">
        <f>(C207+Paramètres!C$5*(1-Paramètres!C$4))*POWER(1+Paramètres!C$2,1/12)*(1-Paramètres!C$7/12)</f>
        <v>40462.255722343201</v>
      </c>
      <c r="D208">
        <f>(D207+Paramètres!D$5*(1-Paramètres!D$4))*POWER(1+Paramètres!D$2,1/12)*(1-Paramètres!D$7/12)</f>
        <v>31900</v>
      </c>
    </row>
    <row r="209" spans="1:4" x14ac:dyDescent="0.3">
      <c r="A209">
        <v>207</v>
      </c>
      <c r="B209">
        <f>(B208+Paramètres!B$5*(1-Paramètres!B$4))*POWER(1+Paramètres!B$2,1/12)*(1-Paramètres!B$7/12)</f>
        <v>44004.522222974258</v>
      </c>
      <c r="C209">
        <f>(C208+Paramètres!C$5*(1-Paramètres!C$4))*POWER(1+Paramètres!C$2,1/12)*(1-Paramètres!C$7/12)</f>
        <v>40699.5577920539</v>
      </c>
      <c r="D209">
        <f>(D208+Paramètres!D$5*(1-Paramètres!D$4))*POWER(1+Paramètres!D$2,1/12)*(1-Paramètres!D$7/12)</f>
        <v>32050</v>
      </c>
    </row>
    <row r="210" spans="1:4" x14ac:dyDescent="0.3">
      <c r="A210">
        <v>208</v>
      </c>
      <c r="B210">
        <f>(B209+Paramètres!B$5*(1-Paramètres!B$4))*POWER(1+Paramètres!B$2,1/12)*(1-Paramètres!B$7/12)</f>
        <v>44290.244558528582</v>
      </c>
      <c r="C210">
        <f>(C209+Paramètres!C$5*(1-Paramètres!C$4))*POWER(1+Paramètres!C$2,1/12)*(1-Paramètres!C$7/12)</f>
        <v>40937.369977774266</v>
      </c>
      <c r="D210">
        <f>(D209+Paramètres!D$5*(1-Paramètres!D$4))*POWER(1+Paramètres!D$2,1/12)*(1-Paramètres!D$7/12)</f>
        <v>32200</v>
      </c>
    </row>
    <row r="211" spans="1:4" x14ac:dyDescent="0.3">
      <c r="A211">
        <v>209</v>
      </c>
      <c r="B211">
        <f>(B210+Paramètres!B$5*(1-Paramètres!B$4))*POWER(1+Paramètres!B$2,1/12)*(1-Paramètres!B$7/12)</f>
        <v>44576.891890242601</v>
      </c>
      <c r="C211">
        <f>(C210+Paramètres!C$5*(1-Paramètres!C$4))*POWER(1+Paramètres!C$2,1/12)*(1-Paramètres!C$7/12)</f>
        <v>41175.693376074341</v>
      </c>
      <c r="D211">
        <f>(D210+Paramètres!D$5*(1-Paramètres!D$4))*POWER(1+Paramètres!D$2,1/12)*(1-Paramètres!D$7/12)</f>
        <v>32350</v>
      </c>
    </row>
    <row r="212" spans="1:4" x14ac:dyDescent="0.3">
      <c r="A212">
        <v>210</v>
      </c>
      <c r="B212">
        <f>(B211+Paramètres!B$5*(1-Paramètres!B$4))*POWER(1+Paramètres!B$2,1/12)*(1-Paramètres!B$7/12)</f>
        <v>44864.467212694588</v>
      </c>
      <c r="C212">
        <f>(C211+Paramètres!C$5*(1-Paramètres!C$4))*POWER(1+Paramètres!C$2,1/12)*(1-Paramètres!C$7/12)</f>
        <v>41414.529085881426</v>
      </c>
      <c r="D212">
        <f>(D211+Paramètres!D$5*(1-Paramètres!D$4))*POWER(1+Paramètres!D$2,1/12)*(1-Paramètres!D$7/12)</f>
        <v>32500</v>
      </c>
    </row>
    <row r="213" spans="1:4" x14ac:dyDescent="0.3">
      <c r="A213">
        <v>211</v>
      </c>
      <c r="B213">
        <f>(B212+Paramètres!B$5*(1-Paramètres!B$4))*POWER(1+Paramètres!B$2,1/12)*(1-Paramètres!B$7/12)</f>
        <v>45152.97353015744</v>
      </c>
      <c r="C213">
        <f>(C212+Paramètres!C$5*(1-Paramètres!C$4))*POWER(1+Paramètres!C$2,1/12)*(1-Paramètres!C$7/12)</f>
        <v>41653.878208485119</v>
      </c>
      <c r="D213">
        <f>(D212+Paramètres!D$5*(1-Paramètres!D$4))*POWER(1+Paramètres!D$2,1/12)*(1-Paramètres!D$7/12)</f>
        <v>32650</v>
      </c>
    </row>
    <row r="214" spans="1:4" x14ac:dyDescent="0.3">
      <c r="A214">
        <v>212</v>
      </c>
      <c r="B214">
        <f>(B213+Paramètres!B$5*(1-Paramètres!B$4))*POWER(1+Paramètres!B$2,1/12)*(1-Paramètres!B$7/12)</f>
        <v>45442.413856630075</v>
      </c>
      <c r="C214">
        <f>(C213+Paramètres!C$5*(1-Paramètres!C$4))*POWER(1+Paramètres!C$2,1/12)*(1-Paramètres!C$7/12)</f>
        <v>41893.741847542406</v>
      </c>
      <c r="D214">
        <f>(D213+Paramètres!D$5*(1-Paramètres!D$4))*POWER(1+Paramètres!D$2,1/12)*(1-Paramètres!D$7/12)</f>
        <v>32800</v>
      </c>
    </row>
    <row r="215" spans="1:4" x14ac:dyDescent="0.3">
      <c r="A215">
        <v>213</v>
      </c>
      <c r="B215">
        <f>(B214+Paramètres!B$5*(1-Paramètres!B$4))*POWER(1+Paramètres!B$2,1/12)*(1-Paramètres!B$7/12)</f>
        <v>45732.791215868914</v>
      </c>
      <c r="C215">
        <f>(C214+Paramètres!C$5*(1-Paramètres!C$4))*POWER(1+Paramètres!C$2,1/12)*(1-Paramètres!C$7/12)</f>
        <v>42134.121109082742</v>
      </c>
      <c r="D215">
        <f>(D214+Paramètres!D$5*(1-Paramètres!D$4))*POWER(1+Paramètres!D$2,1/12)*(1-Paramètres!D$7/12)</f>
        <v>32950</v>
      </c>
    </row>
    <row r="216" spans="1:4" x14ac:dyDescent="0.3">
      <c r="A216">
        <v>214</v>
      </c>
      <c r="B216">
        <f>(B215+Paramètres!B$5*(1-Paramètres!B$4))*POWER(1+Paramètres!B$2,1/12)*(1-Paramètres!B$7/12)</f>
        <v>46024.108641419472</v>
      </c>
      <c r="C216">
        <f>(C215+Paramètres!C$5*(1-Paramètres!C$4))*POWER(1+Paramètres!C$2,1/12)*(1-Paramètres!C$7/12)</f>
        <v>42375.017101513178</v>
      </c>
      <c r="D216">
        <f>(D215+Paramètres!D$5*(1-Paramètres!D$4))*POWER(1+Paramètres!D$2,1/12)*(1-Paramètres!D$7/12)</f>
        <v>33100</v>
      </c>
    </row>
    <row r="217" spans="1:4" x14ac:dyDescent="0.3">
      <c r="A217">
        <v>215</v>
      </c>
      <c r="B217">
        <f>(B216+Paramètres!B$5*(1-Paramètres!B$4))*POWER(1+Paramètres!B$2,1/12)*(1-Paramètres!B$7/12)</f>
        <v>46316.369176648055</v>
      </c>
      <c r="C217">
        <f>(C216+Paramètres!C$5*(1-Paramètres!C$4))*POWER(1+Paramètres!C$2,1/12)*(1-Paramètres!C$7/12)</f>
        <v>42616.430935623423</v>
      </c>
      <c r="D217">
        <f>(D216+Paramètres!D$5*(1-Paramètres!D$4))*POWER(1+Paramètres!D$2,1/12)*(1-Paramètres!D$7/12)</f>
        <v>33250</v>
      </c>
    </row>
    <row r="218" spans="1:4" x14ac:dyDescent="0.3">
      <c r="A218">
        <v>216</v>
      </c>
      <c r="B218">
        <f>(B217+Paramètres!B$5*(1-Paramètres!B$4))*POWER(1+Paramètres!B$2,1/12)*(1-Paramètres!B$7/12)</f>
        <v>46609.575874773545</v>
      </c>
      <c r="C218">
        <f>(C217+Paramètres!C$5*(1-Paramètres!C$4))*POWER(1+Paramètres!C$2,1/12)*(1-Paramètres!C$7/12)</f>
        <v>42858.363724591007</v>
      </c>
      <c r="D218">
        <f>(D217+Paramètres!D$5*(1-Paramètres!D$4))*POWER(1+Paramètres!D$2,1/12)*(1-Paramètres!D$7/12)</f>
        <v>33400</v>
      </c>
    </row>
    <row r="219" spans="1:4" x14ac:dyDescent="0.3">
      <c r="A219">
        <v>217</v>
      </c>
      <c r="B219">
        <f>(B218+Paramètres!B$5*(1-Paramètres!B$4))*POWER(1+Paramètres!B$2,1/12)*(1-Paramètres!B$7/12)</f>
        <v>46903.731798899302</v>
      </c>
      <c r="C219">
        <f>(C218+Paramètres!C$5*(1-Paramètres!C$4))*POWER(1+Paramètres!C$2,1/12)*(1-Paramètres!C$7/12)</f>
        <v>43100.816583986401</v>
      </c>
      <c r="D219">
        <f>(D218+Paramètres!D$5*(1-Paramètres!D$4))*POWER(1+Paramètres!D$2,1/12)*(1-Paramètres!D$7/12)</f>
        <v>33550</v>
      </c>
    </row>
    <row r="220" spans="1:4" x14ac:dyDescent="0.3">
      <c r="A220">
        <v>218</v>
      </c>
      <c r="B220">
        <f>(B219+Paramètres!B$5*(1-Paramètres!B$4))*POWER(1+Paramètres!B$2,1/12)*(1-Paramètres!B$7/12)</f>
        <v>47198.840022045173</v>
      </c>
      <c r="C220">
        <f>(C219+Paramètres!C$5*(1-Paramètres!C$4))*POWER(1+Paramètres!C$2,1/12)*(1-Paramètres!C$7/12)</f>
        <v>43343.790631778153</v>
      </c>
      <c r="D220">
        <f>(D219+Paramètres!D$5*(1-Paramètres!D$4))*POWER(1+Paramètres!D$2,1/12)*(1-Paramètres!D$7/12)</f>
        <v>33700</v>
      </c>
    </row>
    <row r="221" spans="1:4" x14ac:dyDescent="0.3">
      <c r="A221">
        <v>219</v>
      </c>
      <c r="B221">
        <f>(B220+Paramètres!B$5*(1-Paramètres!B$4))*POWER(1+Paramètres!B$2,1/12)*(1-Paramètres!B$7/12)</f>
        <v>47494.903627179556</v>
      </c>
      <c r="C221">
        <f>(C220+Paramètres!C$5*(1-Paramètres!C$4))*POWER(1+Paramètres!C$2,1/12)*(1-Paramètres!C$7/12)</f>
        <v>43587.286988338055</v>
      </c>
      <c r="D221">
        <f>(D220+Paramètres!D$5*(1-Paramètres!D$4))*POWER(1+Paramètres!D$2,1/12)*(1-Paramètres!D$7/12)</f>
        <v>33850</v>
      </c>
    </row>
    <row r="222" spans="1:4" x14ac:dyDescent="0.3">
      <c r="A222">
        <v>220</v>
      </c>
      <c r="B222">
        <f>(B221+Paramètres!B$5*(1-Paramètres!B$4))*POWER(1+Paramètres!B$2,1/12)*(1-Paramètres!B$7/12)</f>
        <v>47791.92570725167</v>
      </c>
      <c r="C222">
        <f>(C221+Paramètres!C$5*(1-Paramètres!C$4))*POWER(1+Paramètres!C$2,1/12)*(1-Paramètres!C$7/12)</f>
        <v>43831.306776446312</v>
      </c>
      <c r="D222">
        <f>(D221+Paramètres!D$5*(1-Paramètres!D$4))*POWER(1+Paramètres!D$2,1/12)*(1-Paramètres!D$7/12)</f>
        <v>34000</v>
      </c>
    </row>
    <row r="223" spans="1:4" x14ac:dyDescent="0.3">
      <c r="A223">
        <v>221</v>
      </c>
      <c r="B223">
        <f>(B222+Paramètres!B$5*(1-Paramètres!B$4))*POWER(1+Paramètres!B$2,1/12)*(1-Paramètres!B$7/12)</f>
        <v>48089.909365223808</v>
      </c>
      <c r="C223">
        <f>(C222+Paramètres!C$5*(1-Paramètres!C$4))*POWER(1+Paramètres!C$2,1/12)*(1-Paramètres!C$7/12)</f>
        <v>44075.851121296691</v>
      </c>
      <c r="D223">
        <f>(D222+Paramètres!D$5*(1-Paramètres!D$4))*POWER(1+Paramètres!D$2,1/12)*(1-Paramètres!D$7/12)</f>
        <v>34150</v>
      </c>
    </row>
    <row r="224" spans="1:4" x14ac:dyDescent="0.3">
      <c r="A224">
        <v>222</v>
      </c>
      <c r="B224">
        <f>(B223+Paramètres!B$5*(1-Paramètres!B$4))*POWER(1+Paramètres!B$2,1/12)*(1-Paramètres!B$7/12)</f>
        <v>48388.857714103804</v>
      </c>
      <c r="C224">
        <f>(C223+Paramètres!C$5*(1-Paramètres!C$4))*POWER(1+Paramètres!C$2,1/12)*(1-Paramètres!C$7/12)</f>
        <v>44320.921150501752</v>
      </c>
      <c r="D224">
        <f>(D223+Paramètres!D$5*(1-Paramètres!D$4))*POWER(1+Paramètres!D$2,1/12)*(1-Paramètres!D$7/12)</f>
        <v>34300</v>
      </c>
    </row>
    <row r="225" spans="1:4" x14ac:dyDescent="0.3">
      <c r="A225">
        <v>223</v>
      </c>
      <c r="B225">
        <f>(B224+Paramètres!B$5*(1-Paramètres!B$4))*POWER(1+Paramètres!B$2,1/12)*(1-Paramètres!B$7/12)</f>
        <v>48688.773876977502</v>
      </c>
      <c r="C225">
        <f>(C224+Paramètres!C$5*(1-Paramètres!C$4))*POWER(1+Paramètres!C$2,1/12)*(1-Paramètres!C$7/12)</f>
        <v>44566.517994098016</v>
      </c>
      <c r="D225">
        <f>(D224+Paramètres!D$5*(1-Paramètres!D$4))*POWER(1+Paramètres!D$2,1/12)*(1-Paramètres!D$7/12)</f>
        <v>34450</v>
      </c>
    </row>
    <row r="226" spans="1:4" x14ac:dyDescent="0.3">
      <c r="A226">
        <v>224</v>
      </c>
      <c r="B226">
        <f>(B225+Paramètres!B$5*(1-Paramètres!B$4))*POWER(1+Paramètres!B$2,1/12)*(1-Paramètres!B$7/12)</f>
        <v>48989.660987041432</v>
      </c>
      <c r="C226">
        <f>(C225+Paramètres!C$5*(1-Paramètres!C$4))*POWER(1+Paramètres!C$2,1/12)*(1-Paramètres!C$7/12)</f>
        <v>44812.642784551179</v>
      </c>
      <c r="D226">
        <f>(D225+Paramètres!D$5*(1-Paramètres!D$4))*POWER(1+Paramètres!D$2,1/12)*(1-Paramètres!D$7/12)</f>
        <v>34600</v>
      </c>
    </row>
    <row r="227" spans="1:4" x14ac:dyDescent="0.3">
      <c r="A227">
        <v>225</v>
      </c>
      <c r="B227">
        <f>(B226+Paramètres!B$5*(1-Paramètres!B$4))*POWER(1+Paramètres!B$2,1/12)*(1-Paramètres!B$7/12)</f>
        <v>49291.522187635499</v>
      </c>
      <c r="C227">
        <f>(C226+Paramètres!C$5*(1-Paramètres!C$4))*POWER(1+Paramètres!C$2,1/12)*(1-Paramètres!C$7/12)</f>
        <v>45059.296656761355</v>
      </c>
      <c r="D227">
        <f>(D226+Paramètres!D$5*(1-Paramètres!D$4))*POWER(1+Paramètres!D$2,1/12)*(1-Paramètres!D$7/12)</f>
        <v>34750</v>
      </c>
    </row>
    <row r="228" spans="1:4" x14ac:dyDescent="0.3">
      <c r="A228">
        <v>226</v>
      </c>
      <c r="B228">
        <f>(B227+Paramètres!B$5*(1-Paramètres!B$4))*POWER(1+Paramètres!B$2,1/12)*(1-Paramètres!B$7/12)</f>
        <v>49594.360632275857</v>
      </c>
      <c r="C228">
        <f>(C227+Paramètres!C$5*(1-Paramètres!C$4))*POWER(1+Paramètres!C$2,1/12)*(1-Paramètres!C$7/12)</f>
        <v>45306.480748068287</v>
      </c>
      <c r="D228">
        <f>(D227+Paramètres!D$5*(1-Paramètres!D$4))*POWER(1+Paramètres!D$2,1/12)*(1-Paramètres!D$7/12)</f>
        <v>34900</v>
      </c>
    </row>
    <row r="229" spans="1:4" x14ac:dyDescent="0.3">
      <c r="A229">
        <v>227</v>
      </c>
      <c r="B229">
        <f>(B228+Paramètres!B$5*(1-Paramètres!B$4))*POWER(1+Paramètres!B$2,1/12)*(1-Paramètres!B$7/12)</f>
        <v>49898.17948468784</v>
      </c>
      <c r="C229">
        <f>(C228+Paramètres!C$5*(1-Paramètres!C$4))*POWER(1+Paramètres!C$2,1/12)*(1-Paramètres!C$7/12)</f>
        <v>45554.196198256584</v>
      </c>
      <c r="D229">
        <f>(D228+Paramètres!D$5*(1-Paramètres!D$4))*POWER(1+Paramètres!D$2,1/12)*(1-Paramètres!D$7/12)</f>
        <v>35050</v>
      </c>
    </row>
    <row r="230" spans="1:4" x14ac:dyDescent="0.3">
      <c r="A230">
        <v>228</v>
      </c>
      <c r="B230">
        <f>(B229+Paramètres!B$5*(1-Paramètres!B$4))*POWER(1+Paramètres!B$2,1/12)*(1-Paramètres!B$7/12)</f>
        <v>50202.981918839003</v>
      </c>
      <c r="C230">
        <f>(C229+Paramètres!C$5*(1-Paramètres!C$4))*POWER(1+Paramètres!C$2,1/12)*(1-Paramètres!C$7/12)</f>
        <v>45802.444149561015</v>
      </c>
      <c r="D230">
        <f>(D229+Paramètres!D$5*(1-Paramètres!D$4))*POWER(1+Paramètres!D$2,1/12)*(1-Paramètres!D$7/12)</f>
        <v>35200</v>
      </c>
    </row>
    <row r="231" spans="1:4" x14ac:dyDescent="0.3">
      <c r="A231">
        <v>229</v>
      </c>
      <c r="B231">
        <f>(B230+Paramètres!B$5*(1-Paramètres!B$4))*POWER(1+Paramètres!B$2,1/12)*(1-Paramètres!B$7/12)</f>
        <v>50508.771118972283</v>
      </c>
      <c r="C231">
        <f>(C230+Paramètres!C$5*(1-Paramètres!C$4))*POWER(1+Paramètres!C$2,1/12)*(1-Paramètres!C$7/12)</f>
        <v>46051.225746671742</v>
      </c>
      <c r="D231">
        <f>(D230+Paramètres!D$5*(1-Paramètres!D$4))*POWER(1+Paramètres!D$2,1/12)*(1-Paramètres!D$7/12)</f>
        <v>35350</v>
      </c>
    </row>
    <row r="232" spans="1:4" x14ac:dyDescent="0.3">
      <c r="A232">
        <v>230</v>
      </c>
      <c r="B232">
        <f>(B231+Paramètres!B$5*(1-Paramètres!B$4))*POWER(1+Paramètres!B$2,1/12)*(1-Paramètres!B$7/12)</f>
        <v>50815.55027963929</v>
      </c>
      <c r="C232">
        <f>(C231+Paramètres!C$5*(1-Paramètres!C$4))*POWER(1+Paramètres!C$2,1/12)*(1-Paramètres!C$7/12)</f>
        <v>46300.542136739597</v>
      </c>
      <c r="D232">
        <f>(D231+Paramètres!D$5*(1-Paramètres!D$4))*POWER(1+Paramètres!D$2,1/12)*(1-Paramètres!D$7/12)</f>
        <v>35500</v>
      </c>
    </row>
    <row r="233" spans="1:4" x14ac:dyDescent="0.3">
      <c r="A233">
        <v>231</v>
      </c>
      <c r="B233">
        <f>(B232+Paramètres!B$5*(1-Paramètres!B$4))*POWER(1+Paramètres!B$2,1/12)*(1-Paramètres!B$7/12)</f>
        <v>51123.322605733643</v>
      </c>
      <c r="C233">
        <f>(C232+Paramètres!C$5*(1-Paramètres!C$4))*POWER(1+Paramètres!C$2,1/12)*(1-Paramètres!C$7/12)</f>
        <v>46550.394469381405</v>
      </c>
      <c r="D233">
        <f>(D232+Paramètres!D$5*(1-Paramètres!D$4))*POWER(1+Paramètres!D$2,1/12)*(1-Paramètres!D$7/12)</f>
        <v>35650</v>
      </c>
    </row>
    <row r="234" spans="1:4" x14ac:dyDescent="0.3">
      <c r="A234">
        <v>232</v>
      </c>
      <c r="B234">
        <f>(B233+Paramètres!B$5*(1-Paramètres!B$4))*POWER(1+Paramètres!B$2,1/12)*(1-Paramètres!B$7/12)</f>
        <v>51432.091312524484</v>
      </c>
      <c r="C234">
        <f>(C233+Paramètres!C$5*(1-Paramètres!C$4))*POWER(1+Paramètres!C$2,1/12)*(1-Paramètres!C$7/12)</f>
        <v>46800.783896685243</v>
      </c>
      <c r="D234">
        <f>(D233+Paramètres!D$5*(1-Paramètres!D$4))*POWER(1+Paramètres!D$2,1/12)*(1-Paramètres!D$7/12)</f>
        <v>35800</v>
      </c>
    </row>
    <row r="235" spans="1:4" x14ac:dyDescent="0.3">
      <c r="A235">
        <v>233</v>
      </c>
      <c r="B235">
        <f>(B234+Paramètres!B$5*(1-Paramètres!B$4))*POWER(1+Paramètres!B$2,1/12)*(1-Paramètres!B$7/12)</f>
        <v>51741.859625690042</v>
      </c>
      <c r="C235">
        <f>(C234+Paramètres!C$5*(1-Paramètres!C$4))*POWER(1+Paramètres!C$2,1/12)*(1-Paramètres!C$7/12)</f>
        <v>47051.711573215791</v>
      </c>
      <c r="D235">
        <f>(D234+Paramètres!D$5*(1-Paramètres!D$4))*POWER(1+Paramètres!D$2,1/12)*(1-Paramètres!D$7/12)</f>
        <v>35950</v>
      </c>
    </row>
    <row r="236" spans="1:4" x14ac:dyDescent="0.3">
      <c r="A236">
        <v>234</v>
      </c>
      <c r="B236">
        <f>(B235+Paramètres!B$5*(1-Paramètres!B$4))*POWER(1+Paramètres!B$2,1/12)*(1-Paramètres!B$7/12)</f>
        <v>52052.630781351334</v>
      </c>
      <c r="C236">
        <f>(C235+Paramètres!C$5*(1-Paramètres!C$4))*POWER(1+Paramètres!C$2,1/12)*(1-Paramètres!C$7/12)</f>
        <v>47303.17865601962</v>
      </c>
      <c r="D236">
        <f>(D235+Paramètres!D$5*(1-Paramètres!D$4))*POWER(1+Paramètres!D$2,1/12)*(1-Paramètres!D$7/12)</f>
        <v>36100</v>
      </c>
    </row>
    <row r="237" spans="1:4" x14ac:dyDescent="0.3">
      <c r="A237">
        <v>235</v>
      </c>
      <c r="B237">
        <f>(B236+Paramètres!B$5*(1-Paramètres!B$4))*POWER(1+Paramètres!B$2,1/12)*(1-Paramètres!B$7/12)</f>
        <v>52364.408026105993</v>
      </c>
      <c r="C237">
        <f>(C236+Paramètres!C$5*(1-Paramètres!C$4))*POWER(1+Paramètres!C$2,1/12)*(1-Paramètres!C$7/12)</f>
        <v>47555.186304630559</v>
      </c>
      <c r="D237">
        <f>(D236+Paramètres!D$5*(1-Paramètres!D$4))*POWER(1+Paramètres!D$2,1/12)*(1-Paramètres!D$7/12)</f>
        <v>36250</v>
      </c>
    </row>
    <row r="238" spans="1:4" x14ac:dyDescent="0.3">
      <c r="A238">
        <v>236</v>
      </c>
      <c r="B238">
        <f>(B237+Paramètres!B$5*(1-Paramètres!B$4))*POWER(1+Paramètres!B$2,1/12)*(1-Paramètres!B$7/12)</f>
        <v>52677.194617062174</v>
      </c>
      <c r="C238">
        <f>(C237+Paramètres!C$5*(1-Paramètres!C$4))*POWER(1+Paramètres!C$2,1/12)*(1-Paramètres!C$7/12)</f>
        <v>47807.735681075013</v>
      </c>
      <c r="D238">
        <f>(D237+Paramètres!D$5*(1-Paramètres!D$4))*POWER(1+Paramètres!D$2,1/12)*(1-Paramètres!D$7/12)</f>
        <v>36400</v>
      </c>
    </row>
    <row r="239" spans="1:4" x14ac:dyDescent="0.3">
      <c r="A239">
        <v>237</v>
      </c>
      <c r="B239">
        <f>(B238+Paramètres!B$5*(1-Paramètres!B$4))*POWER(1+Paramètres!B$2,1/12)*(1-Paramètres!B$7/12)</f>
        <v>52990.99382187258</v>
      </c>
      <c r="C239">
        <f>(C238+Paramètres!C$5*(1-Paramètres!C$4))*POWER(1+Paramètres!C$2,1/12)*(1-Paramètres!C$7/12)</f>
        <v>48060.827949877341</v>
      </c>
      <c r="D239">
        <f>(D238+Paramètres!D$5*(1-Paramètres!D$4))*POWER(1+Paramètres!D$2,1/12)*(1-Paramètres!D$7/12)</f>
        <v>36550</v>
      </c>
    </row>
    <row r="240" spans="1:4" x14ac:dyDescent="0.3">
      <c r="A240">
        <v>238</v>
      </c>
      <c r="B240">
        <f>(B239+Paramètres!B$5*(1-Paramètres!B$4))*POWER(1+Paramètres!B$2,1/12)*(1-Paramètres!B$7/12)</f>
        <v>53305.808918768576</v>
      </c>
      <c r="C240">
        <f>(C239+Paramètres!C$5*(1-Paramètres!C$4))*POWER(1+Paramètres!C$2,1/12)*(1-Paramètres!C$7/12)</f>
        <v>48314.464278065221</v>
      </c>
      <c r="D240">
        <f>(D239+Paramètres!D$5*(1-Paramètres!D$4))*POWER(1+Paramètres!D$2,1/12)*(1-Paramètres!D$7/12)</f>
        <v>36700</v>
      </c>
    </row>
    <row r="241" spans="1:4" x14ac:dyDescent="0.3">
      <c r="A241">
        <v>239</v>
      </c>
      <c r="B241">
        <f>(B240+Paramètres!B$5*(1-Paramètres!B$4))*POWER(1+Paramètres!B$2,1/12)*(1-Paramètres!B$7/12)</f>
        <v>53621.643196594479</v>
      </c>
      <c r="C241">
        <f>(C240+Paramètres!C$5*(1-Paramètres!C$4))*POWER(1+Paramètres!C$2,1/12)*(1-Paramètres!C$7/12)</f>
        <v>48568.645835175033</v>
      </c>
      <c r="D241">
        <f>(D240+Paramètres!D$5*(1-Paramètres!D$4))*POWER(1+Paramètres!D$2,1/12)*(1-Paramètres!D$7/12)</f>
        <v>36850</v>
      </c>
    </row>
    <row r="242" spans="1:4" x14ac:dyDescent="0.3">
      <c r="A242">
        <v>240</v>
      </c>
      <c r="B242">
        <f>(B241+Paramètres!B$5*(1-Paramètres!B$4))*POWER(1+Paramètres!B$2,1/12)*(1-Paramètres!B$7/12)</f>
        <v>53938.499954841885</v>
      </c>
      <c r="C242">
        <f>(C241+Paramètres!C$5*(1-Paramètres!C$4))*POWER(1+Paramètres!C$2,1/12)*(1-Paramètres!C$7/12)</f>
        <v>48823.37379325724</v>
      </c>
      <c r="D242">
        <f>(D241+Paramètres!D$5*(1-Paramètres!D$4))*POWER(1+Paramètres!D$2,1/12)*(1-Paramètres!D$7/12)</f>
        <v>37000</v>
      </c>
    </row>
  </sheetData>
  <pageMargins left="0.75" right="0.75" top="1" bottom="1" header="0.5" footer="0.5"/>
  <headerFooter>
    <oddFooter>&amp;L_x000D_&amp;1#&amp;"Aptos"&amp;10&amp;K008000 Confidential -C2-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C2" sqref="C2:D242"/>
    </sheetView>
  </sheetViews>
  <sheetFormatPr baseColWidth="10" defaultColWidth="8.88671875" defaultRowHeight="14.4" x14ac:dyDescent="0.3"/>
  <sheetData>
    <row r="1" spans="1:4" x14ac:dyDescent="0.3">
      <c r="A1" t="s">
        <v>7</v>
      </c>
      <c r="B1" t="str">
        <f>Paramètres!B1</f>
        <v>Contrat gestion libre géré par CGP - rendement 5%</v>
      </c>
      <c r="C1" t="str">
        <f>Paramètres!C1</f>
        <v>Contrat gestion piloté BoursoBank - rendement 5%</v>
      </c>
      <c r="D1" t="str">
        <f>Paramètres!D1</f>
        <v>Placement sur compte courant</v>
      </c>
    </row>
    <row r="2" spans="1:4" x14ac:dyDescent="0.3">
      <c r="A2">
        <v>0</v>
      </c>
      <c r="B2">
        <f>Simulation!B2</f>
        <v>952</v>
      </c>
      <c r="C2">
        <f>Simulation!C2</f>
        <v>1000</v>
      </c>
      <c r="D2">
        <f>Simulation!D2</f>
        <v>1000</v>
      </c>
    </row>
    <row r="3" spans="1:4" x14ac:dyDescent="0.3">
      <c r="A3">
        <v>1</v>
      </c>
      <c r="B3">
        <f>Simulation!B14</f>
        <v>2739.7406182741115</v>
      </c>
      <c r="C3">
        <f>Simulation!C14</f>
        <v>2851.4531576881959</v>
      </c>
      <c r="D3">
        <f>Simulation!D14</f>
        <v>2800</v>
      </c>
    </row>
    <row r="4" spans="1:4" x14ac:dyDescent="0.3">
      <c r="A4">
        <v>2</v>
      </c>
      <c r="B4">
        <f>Simulation!B26</f>
        <v>4598.182787448648</v>
      </c>
      <c r="C4">
        <f>Simulation!C26</f>
        <v>4751.2347263361526</v>
      </c>
      <c r="D4">
        <f>Simulation!D26</f>
        <v>4600</v>
      </c>
    </row>
    <row r="5" spans="1:4" x14ac:dyDescent="0.3">
      <c r="A5">
        <v>3</v>
      </c>
      <c r="B5">
        <f>Simulation!B38</f>
        <v>6530.1226118625909</v>
      </c>
      <c r="C5">
        <f>Simulation!C38</f>
        <v>6700.6062206066581</v>
      </c>
      <c r="D5">
        <f>Simulation!D38</f>
        <v>6400</v>
      </c>
    </row>
    <row r="6" spans="1:4" x14ac:dyDescent="0.3">
      <c r="A6">
        <v>4</v>
      </c>
      <c r="B6">
        <f>Simulation!B50</f>
        <v>8538.4667761657402</v>
      </c>
      <c r="C6">
        <f>Simulation!C50</f>
        <v>8700.8620844314992</v>
      </c>
      <c r="D6">
        <f>Simulation!D50</f>
        <v>8200</v>
      </c>
    </row>
    <row r="7" spans="1:4" x14ac:dyDescent="0.3">
      <c r="A7">
        <v>5</v>
      </c>
      <c r="B7">
        <f>Simulation!B62</f>
        <v>10626.236918547926</v>
      </c>
      <c r="C7">
        <f>Simulation!C62</f>
        <v>10753.3305505629</v>
      </c>
      <c r="D7">
        <f>Simulation!D62</f>
        <v>10000</v>
      </c>
    </row>
    <row r="8" spans="1:4" x14ac:dyDescent="0.3">
      <c r="A8">
        <v>6</v>
      </c>
      <c r="B8">
        <f>Simulation!B74</f>
        <v>12796.574176920643</v>
      </c>
      <c r="C8">
        <f>Simulation!C74</f>
        <v>12859.374522561808</v>
      </c>
      <c r="D8">
        <f>Simulation!D74</f>
        <v>11800</v>
      </c>
    </row>
    <row r="9" spans="1:4" x14ac:dyDescent="0.3">
      <c r="A9">
        <v>7</v>
      </c>
      <c r="B9">
        <f>Simulation!B86</f>
        <v>15052.743914891023</v>
      </c>
      <c r="C9">
        <f>Simulation!C86</f>
        <v>15020.392479808706</v>
      </c>
      <c r="D9">
        <f>Simulation!D86</f>
        <v>13600</v>
      </c>
    </row>
    <row r="10" spans="1:4" x14ac:dyDescent="0.3">
      <c r="A10">
        <v>8</v>
      </c>
      <c r="B10">
        <f>Simulation!B98</f>
        <v>17398.140634638607</v>
      </c>
      <c r="C10">
        <f>Simulation!C98</f>
        <v>17237.819406137842</v>
      </c>
      <c r="D10">
        <f>Simulation!D98</f>
        <v>15400</v>
      </c>
    </row>
    <row r="11" spans="1:4" x14ac:dyDescent="0.3">
      <c r="A11">
        <v>9</v>
      </c>
      <c r="B11">
        <f>Simulation!B110</f>
        <v>19836.293084086523</v>
      </c>
      <c r="C11">
        <f>Simulation!C110</f>
        <v>19513.127742711615</v>
      </c>
      <c r="D11">
        <f>Simulation!D110</f>
        <v>17200</v>
      </c>
    </row>
    <row r="12" spans="1:4" x14ac:dyDescent="0.3">
      <c r="A12">
        <v>10</v>
      </c>
      <c r="B12">
        <f>Simulation!B122</f>
        <v>22370.869566050998</v>
      </c>
      <c r="C12">
        <f>Simulation!C122</f>
        <v>21847.828365767749</v>
      </c>
      <c r="D12">
        <f>Simulation!D122</f>
        <v>19000</v>
      </c>
    </row>
    <row r="13" spans="1:4" x14ac:dyDescent="0.3">
      <c r="A13">
        <v>11</v>
      </c>
      <c r="B13">
        <f>Simulation!B134</f>
        <v>25005.683457357118</v>
      </c>
      <c r="C13">
        <f>Simulation!C134</f>
        <v>24243.471589888635</v>
      </c>
      <c r="D13">
        <f>Simulation!D134</f>
        <v>20800</v>
      </c>
    </row>
    <row r="14" spans="1:4" x14ac:dyDescent="0.3">
      <c r="A14">
        <v>12</v>
      </c>
      <c r="B14">
        <f>Simulation!B146</f>
        <v>27744.698946224504</v>
      </c>
      <c r="C14">
        <f>Simulation!C146</f>
        <v>26701.648197458901</v>
      </c>
      <c r="D14">
        <f>Simulation!D146</f>
        <v>22600</v>
      </c>
    </row>
    <row r="15" spans="1:4" x14ac:dyDescent="0.3">
      <c r="A15">
        <v>13</v>
      </c>
      <c r="B15">
        <f>Simulation!B158</f>
        <v>30592.036996555064</v>
      </c>
      <c r="C15">
        <f>Simulation!C158</f>
        <v>29223.99049499492</v>
      </c>
      <c r="D15">
        <f>Simulation!D158</f>
        <v>24400</v>
      </c>
    </row>
    <row r="16" spans="1:4" x14ac:dyDescent="0.3">
      <c r="A16">
        <v>14</v>
      </c>
      <c r="B16">
        <f>Simulation!B170</f>
        <v>33551.981548096366</v>
      </c>
      <c r="C16">
        <f>Simulation!C170</f>
        <v>31812.173397047623</v>
      </c>
      <c r="D16">
        <f>Simulation!D170</f>
        <v>26200</v>
      </c>
    </row>
    <row r="17" spans="1:4" x14ac:dyDescent="0.3">
      <c r="A17">
        <v>15</v>
      </c>
      <c r="B17">
        <f>Simulation!B182</f>
        <v>36628.985961809019</v>
      </c>
      <c r="C17">
        <f>Simulation!C182</f>
        <v>34467.915538398396</v>
      </c>
      <c r="D17">
        <f>Simulation!D182</f>
        <v>28000</v>
      </c>
    </row>
    <row r="18" spans="1:4" x14ac:dyDescent="0.3">
      <c r="A18">
        <v>16</v>
      </c>
      <c r="B18">
        <f>Simulation!B194</f>
        <v>39827.679720135318</v>
      </c>
      <c r="C18">
        <f>Simulation!C194</f>
        <v>37192.980415286584</v>
      </c>
      <c r="D18">
        <f>Simulation!D194</f>
        <v>29800</v>
      </c>
    </row>
    <row r="19" spans="1:4" x14ac:dyDescent="0.3">
      <c r="A19">
        <v>17</v>
      </c>
      <c r="B19">
        <f>Simulation!B206</f>
        <v>43152.875392250142</v>
      </c>
      <c r="C19">
        <f>Simulation!C206</f>
        <v>39989.177556426439</v>
      </c>
      <c r="D19">
        <f>Simulation!D206</f>
        <v>31600</v>
      </c>
    </row>
    <row r="20" spans="1:4" x14ac:dyDescent="0.3">
      <c r="A20">
        <v>18</v>
      </c>
      <c r="B20">
        <f>Simulation!B218</f>
        <v>46609.575874773545</v>
      </c>
      <c r="C20">
        <f>Simulation!C218</f>
        <v>42858.363724591007</v>
      </c>
      <c r="D20">
        <f>Simulation!D218</f>
        <v>33400</v>
      </c>
    </row>
    <row r="21" spans="1:4" x14ac:dyDescent="0.3">
      <c r="A21">
        <v>19</v>
      </c>
      <c r="B21">
        <f>Simulation!B230</f>
        <v>50202.981918839003</v>
      </c>
      <c r="C21">
        <f>Simulation!C230</f>
        <v>45802.444149561015</v>
      </c>
      <c r="D21">
        <f>Simulation!D230</f>
        <v>35200</v>
      </c>
    </row>
    <row r="22" spans="1:4" x14ac:dyDescent="0.3">
      <c r="A22">
        <v>20</v>
      </c>
      <c r="B22">
        <f>Simulation!B242</f>
        <v>53938.499954841885</v>
      </c>
      <c r="C22">
        <f>Simulation!C242</f>
        <v>48823.37379325724</v>
      </c>
      <c r="D22">
        <f>Simulation!D242</f>
        <v>37000</v>
      </c>
    </row>
  </sheetData>
  <pageMargins left="0.75" right="0.75" top="1" bottom="1" header="0.5" footer="0.5"/>
  <headerFooter>
    <oddFooter>&amp;L_x000D_&amp;1#&amp;"Aptos"&amp;10&amp;K008000 Confidential -C2-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Paramètres</vt:lpstr>
      <vt:lpstr>Simulation</vt:lpstr>
      <vt:lpstr>Annuel</vt:lpstr>
      <vt:lpstr>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GUILBERT, Guillaume (ext)</cp:lastModifiedBy>
  <dcterms:created xsi:type="dcterms:W3CDTF">2025-12-08T16:53:07Z</dcterms:created>
  <dcterms:modified xsi:type="dcterms:W3CDTF">2025-12-18T13:47:28Z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2025-12-09T06:41:22Z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24950f3f-1b65-4356-ac8a-6d7d77816872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