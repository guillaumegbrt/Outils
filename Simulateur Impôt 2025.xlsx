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15041946-my.sharepoint.com/personal/guillaume_guilbert_ext_plasticomnium_com/Documents/Documents/000-Perso/Conseil patrimoine/Outils/"/>
    </mc:Choice>
  </mc:AlternateContent>
  <xr:revisionPtr revIDLastSave="43" documentId="13_ncr:1_{C0528B22-4170-4882-BFF7-495ED349E4EC}" xr6:coauthVersionLast="47" xr6:coauthVersionMax="47" xr10:uidLastSave="{1F2F2342-32C9-48AC-BB47-1C35A3B24D74}"/>
  <bookViews>
    <workbookView minimized="1" xWindow="3000" yWindow="3000" windowWidth="17280" windowHeight="9960" activeTab="2" xr2:uid="{F929243B-59AF-4C27-884B-2E1D5A5CA125}"/>
  </bookViews>
  <sheets>
    <sheet name="MAJ" sheetId="3" r:id="rId1"/>
    <sheet name="Données" sheetId="1" r:id="rId2"/>
    <sheet name="Simulateur impôt 2025" sheetId="2" r:id="rId3"/>
    <sheet name="Simulateur impôt simplifié 2025"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7" i="2" l="1"/>
  <c r="B18" i="1"/>
  <c r="A7" i="1"/>
  <c r="A6" i="1"/>
  <c r="A5" i="1"/>
  <c r="A4" i="1"/>
  <c r="H19" i="2"/>
  <c r="C7" i="2"/>
  <c r="B6" i="4" l="1"/>
  <c r="I9" i="4"/>
  <c r="J8" i="4"/>
  <c r="I8" i="4"/>
  <c r="J7" i="4"/>
  <c r="I7" i="4"/>
  <c r="J6" i="4"/>
  <c r="I6" i="4"/>
  <c r="I5" i="4"/>
  <c r="J5" i="4"/>
  <c r="H25" i="2"/>
  <c r="H4" i="2"/>
  <c r="J4" i="2" s="1"/>
  <c r="I5" i="2"/>
  <c r="H5" i="2"/>
  <c r="I4" i="2"/>
  <c r="K4" i="2" s="1"/>
  <c r="J36" i="4"/>
  <c r="J35" i="4"/>
  <c r="J32" i="4"/>
  <c r="J31" i="4"/>
  <c r="J22" i="4"/>
  <c r="J21" i="4"/>
  <c r="M27" i="4"/>
  <c r="M26" i="4"/>
  <c r="J27" i="4"/>
  <c r="J26" i="4"/>
  <c r="H24" i="2"/>
  <c r="D8" i="2"/>
  <c r="C14" i="2"/>
  <c r="H9" i="2" l="1"/>
  <c r="K5" i="2"/>
  <c r="J5" i="2"/>
  <c r="B16" i="4"/>
  <c r="C30" i="2"/>
  <c r="K16" i="2" l="1"/>
  <c r="K14" i="2"/>
  <c r="K13" i="2"/>
  <c r="K15" i="2"/>
  <c r="B17" i="4"/>
  <c r="D12" i="2"/>
  <c r="D18" i="2"/>
  <c r="F12" i="4"/>
  <c r="B18" i="4" l="1"/>
  <c r="F5" i="4" s="1"/>
  <c r="F6" i="4" s="1"/>
  <c r="F4" i="4" l="1"/>
  <c r="F17" i="4" s="1"/>
  <c r="G5" i="4"/>
  <c r="F16" i="4" l="1"/>
  <c r="E8" i="4" s="1"/>
  <c r="F14" i="4" s="1"/>
  <c r="D6" i="2"/>
  <c r="H21" i="2" l="1"/>
  <c r="D15" i="2"/>
  <c r="I6" i="2"/>
  <c r="H6" i="2"/>
  <c r="D16" i="2"/>
  <c r="H11" i="2" l="1"/>
  <c r="C31" i="2" l="1"/>
  <c r="C32" i="2"/>
  <c r="H13" i="2" l="1"/>
  <c r="H30" i="2" s="1"/>
  <c r="H14" i="2"/>
  <c r="H15" i="2" l="1"/>
  <c r="I14" i="2"/>
  <c r="H31" i="2"/>
  <c r="G17" i="2" s="1"/>
  <c r="H23" i="2" s="1"/>
  <c r="H2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Furtak</author>
  </authors>
  <commentList>
    <comment ref="G4" authorId="0" shapeId="0" xr:uid="{5F977508-8E93-4610-8B8E-646BBFFFDC1F}">
      <text>
        <r>
          <rPr>
            <sz val="9"/>
            <color indexed="81"/>
            <rFont val="Tahoma"/>
            <family val="2"/>
          </rPr>
          <t>Attention pour les BNC, BIC pas d'abattements appliqués !</t>
        </r>
      </text>
    </comment>
    <comment ref="G6" authorId="0" shapeId="0" xr:uid="{7C3A84F7-0416-4904-8F8D-B3667B44C7B4}">
      <text>
        <r>
          <rPr>
            <sz val="9"/>
            <color indexed="81"/>
            <rFont val="Tahoma"/>
            <family val="2"/>
          </rPr>
          <t>Pas de plafond pour cette catégorie de revenus</t>
        </r>
      </text>
    </comment>
    <comment ref="G8" authorId="0" shapeId="0" xr:uid="{C32C332F-6A95-430C-8EDE-1AF1C5A0FF4B}">
      <text>
        <r>
          <rPr>
            <sz val="9"/>
            <color indexed="81"/>
            <rFont val="Tahoma"/>
            <family val="2"/>
          </rPr>
          <t>Notez ici à la main les déductions en prenant en compte les plafond de déduction.
Plafond pension alimentaire versée à un enfant : 5959€.
Plafond PER : Les versements sont déductibles à hauteur du montant le plus élevé entre : 10% des revenus d'activité professionnelle nets de frais, dans la limite maximale de 10% de 8 fois le plafond annuel de la sécurité sociale (PASS) de l'année précédente soit 32 419 € de déduction maximum pour les versements réalisés en 2020</t>
        </r>
      </text>
    </comment>
    <comment ref="B9" authorId="0" shapeId="0" xr:uid="{E8EFD9EF-7FE4-4872-B0F3-2688B238BC10}">
      <text>
        <r>
          <rPr>
            <sz val="9"/>
            <color indexed="81"/>
            <rFont val="Tahoma"/>
            <family val="2"/>
          </rPr>
          <t>Avant abattement de 10% ou frais réels</t>
        </r>
      </text>
    </comment>
    <comment ref="G11" authorId="0" shapeId="0" xr:uid="{2ACC6FAC-EBF0-4D92-AED3-E5E2DD4F5A1C}">
      <text>
        <r>
          <rPr>
            <sz val="9"/>
            <color indexed="81"/>
            <rFont val="Tahoma"/>
            <family val="2"/>
          </rPr>
          <t>Total colonnes C et D après abattements</t>
        </r>
        <r>
          <rPr>
            <b/>
            <sz val="9"/>
            <color indexed="81"/>
            <rFont val="Tahoma"/>
            <family val="2"/>
          </rPr>
          <t xml:space="preserve">
</t>
        </r>
      </text>
    </comment>
    <comment ref="B12" authorId="0" shapeId="0" xr:uid="{9F212BD4-FA6E-4D8F-8E6D-721572A39AD3}">
      <text>
        <r>
          <rPr>
            <sz val="9"/>
            <color indexed="81"/>
            <rFont val="Tahoma"/>
            <family val="2"/>
          </rPr>
          <t>Les plus-values de cessions mobilières, les intérêts, les dividendes, les obligations, et l'assurance-vie. 
La Flat Tax s'oppose au barème progressif de l'IR et n'offre pas de déduction ou réduction d'impôt possible.</t>
        </r>
      </text>
    </comment>
    <comment ref="B13" authorId="0" shapeId="0" xr:uid="{CBC5955F-7298-43DC-898A-9843EDC021A7}">
      <text>
        <r>
          <rPr>
            <sz val="9"/>
            <color indexed="81"/>
            <rFont val="Tahoma"/>
            <family val="2"/>
          </rPr>
          <t>Régime micro-foncier possible si RF &lt; 15 000€. Option régime réel irrévocable pendant 3 ans. 
Micro-foncier : notez les recettes avant abattement de 30%.
Réel : noter le bénéfice foncier, en cas de déficit, complétez la case "Déficit Foncier" à la main.
Déficit foncier maximum de 10700€ !</t>
        </r>
      </text>
    </comment>
    <comment ref="A15" authorId="0" shapeId="0" xr:uid="{3B9B061C-2EFA-4972-9FFB-341E093CD127}">
      <text>
        <r>
          <rPr>
            <sz val="9"/>
            <color indexed="81"/>
            <rFont val="Tahoma"/>
            <family val="2"/>
          </rPr>
          <t>BIC ou BNC ?
- les Bénéfices Industriels et Commerciaux (BIC) concernent les activités d'achat / vente, les activités de fourniture de logement ou de nourriture ainsi que les prestations de services commerciales et artisanales
- les Bénéfices Non Commerciaux (BNC) concernent les activités libérales.</t>
        </r>
      </text>
    </comment>
    <comment ref="B15" authorId="0" shapeId="0" xr:uid="{68274D7F-D31A-47D9-8A0B-C951C3213292}">
      <text>
        <r>
          <rPr>
            <sz val="9"/>
            <color indexed="81"/>
            <rFont val="Tahoma"/>
            <family val="2"/>
          </rPr>
          <t xml:space="preserve">Si l'entrepreneur a opté pour le versement libératoire de l'impôt alors il ne sera pas imposé sur ces revenus. Cependant le calcul du taux effectif pourra augmenter son imposition (voir onglet Paramètres). Ce simulateur ne prend pas en compte le calcul du taux effectif.
L'hypothèse retenue sera un abattement de 34%. Forcer la case H11 pour modifier si besoin.
Abattements forfaitaires :
- 71% pour les activités d’achat-revente ou d’hébergement (régime micro-BIC)
 - 50% pour les prestations de services (régime micro-BIC)
 - 34% pour les activités non commerciales (régime micro-BNC)
</t>
        </r>
      </text>
    </comment>
    <comment ref="B17" authorId="0" shapeId="0" xr:uid="{314FE491-C32F-4318-BBCC-6384E0EA5CD8}">
      <text>
        <r>
          <rPr>
            <sz val="9"/>
            <color indexed="81"/>
            <rFont val="Tahoma"/>
            <family val="2"/>
          </rPr>
          <t xml:space="preserve">Sont imposés dans la catégorie des bénéfices industriels et commerciaux les bénéfices réalisés par des personnes physiques ou par des sociétés de personnes, et provenant de l’exercice d’une profession commerciale, industrielle ou artisanale.
Les BIC professionnels sont les bénéfices réalisés par l’intermédiaire d’activités exercées à titre professionnel. Une activité est considérée comme étant exercée à titre professionnel lorsqu’elle comporte la participation personnelle, directe et continue de l’un des membres du foyer fiscal à l’accomplissement des actes nécessaires à cette activité.
Les BIC non-professionnels sont les bénéfices réalisées par l’intermédiaire d’activités exercées à titre non-professionnel, donc qui ne répondent pas aux conditions évoquées ci-dessus.
</t>
        </r>
      </text>
    </comment>
    <comment ref="F17" authorId="0" shapeId="0" xr:uid="{4EE67AB8-09C8-41A0-B4AB-D8B66E730A3A}">
      <text>
        <r>
          <rPr>
            <sz val="9"/>
            <color indexed="81"/>
            <rFont val="Tahoma"/>
            <family val="2"/>
          </rPr>
          <t>La décote intervient avant les RICI et s'adresse aux impositions modestes.
On prend en compte uniquement les revenus passant par les tranches d'imposition (exit les revenus Flat Tax donc).</t>
        </r>
      </text>
    </comment>
    <comment ref="B19" authorId="0" shapeId="0" xr:uid="{38F71124-770F-4709-988B-3665CD638E01}">
      <text>
        <r>
          <rPr>
            <sz val="9"/>
            <color indexed="81"/>
            <rFont val="Tahoma"/>
            <family val="2"/>
          </rPr>
          <t>Ce simulateur traite uniquement le LMNP !
Régime micro-BIC possible si RF &lt; 70 000€ de recettes (loc. meublées classiques) VS 170 000€ pour les locations de chambres d’hôtes et les meublés de tourisme classé.
Micro-BIC : notez les recettes avant abattement de 50%.
Réel : noter le bénéfice BIC, en cas de déficit notez 0 dans ce simulateur.</t>
        </r>
      </text>
    </comment>
    <comment ref="F19" authorId="0" shapeId="0" xr:uid="{434B1959-0C6C-409A-AB38-7AA7AE6BB326}">
      <text>
        <r>
          <rPr>
            <sz val="9"/>
            <color indexed="81"/>
            <rFont val="Tahoma"/>
            <family val="2"/>
          </rPr>
          <t>Attention au plafond des niches fiscales !
10k France Métropole
18k Outre-Mer (Pinel Outre-Mer &amp; G3F).
Attention au FIP-OM qui rentre dans le plafond France Metropole !</t>
        </r>
      </text>
    </comment>
    <comment ref="B20" authorId="0" shapeId="0" xr:uid="{12B6567D-782D-41EF-B303-56D6A20036ED}">
      <text>
        <r>
          <rPr>
            <sz val="9"/>
            <color indexed="81"/>
            <rFont val="Tahoma"/>
            <family val="2"/>
          </rPr>
          <t xml:space="preserve">
Pour toutes les activités dites de prestation intellectuelle : Ce mode d’imposition des revenus est réservé à tous les professionnels déclarant des revenus non commerciaux (BNC), ce sont donc :
- Les professions libérales : médecins et praticiens médicaux, avocats, juristes, notaires et architectes.
 - Les artistes, compositeurs et auteurs.
 - Et plus largement, les professionnels exerçant une activité intellectuelle indépendante. Ce qui comprend donc tous les métiers du conseil aux entreprises (communication, informatique, juridique et fiscal, etc.) et aux particuliers (coach).</t>
        </r>
        <r>
          <rPr>
            <b/>
            <sz val="9"/>
            <color indexed="81"/>
            <rFont val="Tahoma"/>
            <family val="2"/>
          </rPr>
          <t xml:space="preserve">
</t>
        </r>
      </text>
    </comment>
    <comment ref="B21" authorId="0" shapeId="0" xr:uid="{23EC514B-470A-4218-AD27-DA1E2DB8A699}">
      <text>
        <r>
          <rPr>
            <sz val="9"/>
            <color indexed="81"/>
            <rFont val="Tahoma"/>
            <family val="2"/>
          </rPr>
          <t>Les revenus non-professionnels sont réservés aux particuliers qui touchent des sommes pour une activité inhabituelle et non-professionnelle, et dans le cas où ils cotisent et déjà au niveau social (salariés). Par exemple, des artistes, sportifs ou inventeurs non-pro.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Furtak</author>
  </authors>
  <commentList>
    <comment ref="D8" authorId="0" shapeId="0" xr:uid="{B73A3AD8-4FAE-4176-9540-71E9EFFE00E4}">
      <text>
        <r>
          <rPr>
            <sz val="9"/>
            <color indexed="81"/>
            <rFont val="Tahoma"/>
            <family val="2"/>
          </rPr>
          <t>La décote intervient avant les RICI et s'adresse aux impositions modestes.
On prend en compte uniquement les revenus passant par les tranches d'imposition (exit les revenus Flat Tax donc).</t>
        </r>
      </text>
    </comment>
    <comment ref="D10" authorId="0" shapeId="0" xr:uid="{621F6A79-80A4-445A-8F29-7C2EB6E42F20}">
      <text>
        <r>
          <rPr>
            <sz val="9"/>
            <color indexed="81"/>
            <rFont val="Tahoma"/>
            <family val="2"/>
          </rPr>
          <t>Attention au plafond des niches fiscales !
10k France Métropole
18k Outre-Mer (Pinel Outre-Mer &amp; G3F).
Attention au FIP-OM qui rentre dans le plafond France Metropole !</t>
        </r>
      </text>
    </comment>
  </commentList>
</comments>
</file>

<file path=xl/sharedStrings.xml><?xml version="1.0" encoding="utf-8"?>
<sst xmlns="http://schemas.openxmlformats.org/spreadsheetml/2006/main" count="186" uniqueCount="128">
  <si>
    <t>Situation de famille</t>
  </si>
  <si>
    <t>Célibataire</t>
  </si>
  <si>
    <t>Veuf</t>
  </si>
  <si>
    <t>Frais réels</t>
  </si>
  <si>
    <t>Décôte de l'impôt</t>
  </si>
  <si>
    <t>Imposition des revenus</t>
  </si>
  <si>
    <t>Couple</t>
  </si>
  <si>
    <t>La décôte s'obtient par différence entre une somme forfaitaire définie ci-dessous et l'application du taux 45,25% à l'impôt brut</t>
  </si>
  <si>
    <t>Somme forfaitaire</t>
  </si>
  <si>
    <t>Maximum retraités (foyer fiscal)</t>
  </si>
  <si>
    <t>Minimum retraités (/personne)</t>
  </si>
  <si>
    <t>http://impotsurlerevenu.org/fonctionnement-de-l-impot/207-part-fiscale-et-garde-alternee.php</t>
  </si>
  <si>
    <t>http://impotsurlerevenu.org/fonctionnement-de-l-impot/210-plafonnement-du-quotient-familial.php</t>
  </si>
  <si>
    <t>CSG / CRDS</t>
  </si>
  <si>
    <t>Situation familiale</t>
  </si>
  <si>
    <t>Nombre d'enfants à charge</t>
  </si>
  <si>
    <t>Situations particulières</t>
  </si>
  <si>
    <t>Plafond du quotient familial atteint ?</t>
  </si>
  <si>
    <t>Calcul 1 (sans prise en compte quotient familial)</t>
  </si>
  <si>
    <t>Calcul 2 (avec prise en compte quotient familial)</t>
  </si>
  <si>
    <t>Revenus BIC</t>
  </si>
  <si>
    <t>Plafond demi-part</t>
  </si>
  <si>
    <t>A masquer</t>
  </si>
  <si>
    <t>Plafond des niches fiscales Outre-Mer</t>
  </si>
  <si>
    <t>Total</t>
  </si>
  <si>
    <t>Impôt sur le revenu avant RICI</t>
  </si>
  <si>
    <t>Flat Tax</t>
  </si>
  <si>
    <t>IR</t>
  </si>
  <si>
    <t>TMI (Taux Marginal d'Imposition)</t>
  </si>
  <si>
    <t>Nombre de parts fiscales (sans compter les enfants pour calcul 2)</t>
  </si>
  <si>
    <t>Réductions d'impôts existantes (RI)</t>
  </si>
  <si>
    <t>Impôt sur le revenu</t>
  </si>
  <si>
    <t xml:space="preserve">Situations particulières </t>
  </si>
  <si>
    <t>https://www3.impots.gouv.fr/simulateur/calcul_impot/2021/complet/index.htm</t>
  </si>
  <si>
    <t>Titulaire pension invalidité</t>
  </si>
  <si>
    <t>Titulaire carte du combattant</t>
  </si>
  <si>
    <t>Plafond 1 part</t>
  </si>
  <si>
    <t>Traitements et salaires</t>
  </si>
  <si>
    <t>Revenus fonciers</t>
  </si>
  <si>
    <t>Régime micro-foncier</t>
  </si>
  <si>
    <t>Régime réel</t>
  </si>
  <si>
    <t>Micro-entrepreneur n'ayant PAS opté pour le versement libératoire de l'impôt</t>
  </si>
  <si>
    <t>Revenus agricoles</t>
  </si>
  <si>
    <t>Revenus industriels et commerciaux professionnels (BIC PRO)</t>
  </si>
  <si>
    <t>Revenus industriels et commerciaux non professionnels (BIC non PRO)</t>
  </si>
  <si>
    <t>Revenus non commerciaux professionnels (BNC PRO)</t>
  </si>
  <si>
    <t>Revenus non commerciaux non professionnels (BNC non PRO)</t>
  </si>
  <si>
    <t>Date</t>
  </si>
  <si>
    <t>Modifications</t>
  </si>
  <si>
    <t>Création du fichier (BF)</t>
  </si>
  <si>
    <t xml:space="preserve">Micro-entrepreneur ayant opté pour le versement libératoire de l'impôt et soumis au calcul du taux effectif </t>
  </si>
  <si>
    <t>https://www.corrigetonimpot.fr/taux-effectif-impot-definition-calcul-auto-entrepreneur/</t>
  </si>
  <si>
    <t>Situation</t>
  </si>
  <si>
    <t>Revenus</t>
  </si>
  <si>
    <t>Revenus professions 
non salariées</t>
  </si>
  <si>
    <t>Activité LMNP</t>
  </si>
  <si>
    <t>Régime micro-BIC</t>
  </si>
  <si>
    <t>Régime réel BIC</t>
  </si>
  <si>
    <t>Régimes Agricoles (revenus BA)</t>
  </si>
  <si>
    <t>https://www.lecoindesentrepreneurs.fr/regime-micro-benefice-agricole/</t>
  </si>
  <si>
    <t>https://www.lecoindesentrepreneurs.fr/bic-benefices-industriels-et-commerciaux/</t>
  </si>
  <si>
    <t>Si besoin simulateur officiel : https://www3.impots.gouv.fr/simulateur/calcul_impot/2021/complet/index.htm</t>
  </si>
  <si>
    <t>Attention, ce simulateur n'est pas officiel et est à destination exclusive des conseillers en gestion de patrimoine</t>
  </si>
  <si>
    <t>http://impotsurlerevenu.org/declarer-ses-revenus/701-l-imposition-des-bic-et-bnc.php</t>
  </si>
  <si>
    <t>Retraites, pensions et rentes viagères</t>
  </si>
  <si>
    <t>https://www.cfdt.fr/portail/outils/special-impot-2021/les-pensions-et-retraites/pensions-retraites-et-rentes-viageres-srv1_1174494</t>
  </si>
  <si>
    <t xml:space="preserve"> </t>
  </si>
  <si>
    <t>Abattement forfaitaire 10% (Traitements &amp; Salaires)</t>
  </si>
  <si>
    <t>Déduction sur les revenus</t>
  </si>
  <si>
    <t>Déclarant 1</t>
  </si>
  <si>
    <t>Déclarant 2</t>
  </si>
  <si>
    <t>Maximum actif/personne</t>
  </si>
  <si>
    <t>Minimum actif/personne</t>
  </si>
  <si>
    <t>Retraites</t>
  </si>
  <si>
    <t>Pensions, rentes viagères</t>
  </si>
  <si>
    <t>Abattement forfaitaire 10% (Pensions, rentes)</t>
  </si>
  <si>
    <t>Abattement forfaitaire 10% (Retraites)</t>
  </si>
  <si>
    <t>Total des déductions</t>
  </si>
  <si>
    <r>
      <rPr>
        <b/>
        <sz val="11"/>
        <color theme="1"/>
        <rFont val="Calibri"/>
        <family val="2"/>
      </rPr>
      <t xml:space="preserve">→ </t>
    </r>
    <r>
      <rPr>
        <b/>
        <sz val="11"/>
        <color theme="1"/>
        <rFont val="Calibri"/>
        <family val="2"/>
        <scheme val="minor"/>
      </rPr>
      <t>Revenus net imposables</t>
    </r>
  </si>
  <si>
    <t>Impôt 
avant 
RICI</t>
  </si>
  <si>
    <t>Déduction d'IR</t>
  </si>
  <si>
    <t>Crédits d'impôts existants (CI)</t>
  </si>
  <si>
    <t>RICI</t>
  </si>
  <si>
    <t>Total RICI</t>
  </si>
  <si>
    <t>Impôt provenant de la Flat Tax (12,8%, hors CSG/CRDS)</t>
  </si>
  <si>
    <t xml:space="preserve">Décôte </t>
  </si>
  <si>
    <t>Décote célibataire</t>
  </si>
  <si>
    <t>Décote couple</t>
  </si>
  <si>
    <t>Garde alternée</t>
  </si>
  <si>
    <t>Nbre enfants</t>
  </si>
  <si>
    <t>Parts fiscales</t>
  </si>
  <si>
    <t>Célibataire / Union libre</t>
  </si>
  <si>
    <t>Mariés / Pacsés</t>
  </si>
  <si>
    <t>Nbre de parts fiscales</t>
  </si>
  <si>
    <t>Locations meublées non professionnelles (Revenus BIC, statut LMNP)</t>
  </si>
  <si>
    <t>Autres déductions (PER, pension alimentaire, etc)</t>
  </si>
  <si>
    <t>https://www.impots.gouv.fr/portail/particulier/emploi-domicile</t>
  </si>
  <si>
    <t>Réduction d'impôt / crédit d'impôt</t>
  </si>
  <si>
    <t>Consignes : compléter les 6 cases blanches</t>
  </si>
  <si>
    <t>Consignes : Compléter uniquement les cases blanches ! Ne pas mettre de 0 dans les cases.</t>
  </si>
  <si>
    <t>Modif formule TMI (erreur)</t>
  </si>
  <si>
    <r>
      <t xml:space="preserve">Revenus nets imposables </t>
    </r>
    <r>
      <rPr>
        <i/>
        <sz val="10"/>
        <color rgb="FFFF0000"/>
        <rFont val="Calibri"/>
        <family val="2"/>
        <scheme val="minor"/>
      </rPr>
      <t>(après abattement)</t>
    </r>
  </si>
  <si>
    <r>
      <t>Nbre de parts fiscales</t>
    </r>
    <r>
      <rPr>
        <i/>
        <sz val="10"/>
        <color rgb="FFFF0000"/>
        <rFont val="Calibri"/>
        <family val="2"/>
        <scheme val="minor"/>
      </rPr>
      <t xml:space="preserve"> (sans tenir compte des situations particulières)</t>
    </r>
  </si>
  <si>
    <r>
      <t xml:space="preserve">Revenus des valeurs de capitaux mobiliers </t>
    </r>
    <r>
      <rPr>
        <i/>
        <sz val="10"/>
        <color rgb="FFFF0000"/>
        <rFont val="Calibri"/>
        <family val="2"/>
        <scheme val="minor"/>
      </rPr>
      <t>(Flat Tax)</t>
    </r>
  </si>
  <si>
    <r>
      <t xml:space="preserve">Revenus fonciers </t>
    </r>
    <r>
      <rPr>
        <i/>
        <sz val="10"/>
        <color rgb="FFFF0000"/>
        <rFont val="Calibri"/>
        <family val="2"/>
        <scheme val="minor"/>
      </rPr>
      <t>(bénéfice ou déficit)</t>
    </r>
  </si>
  <si>
    <t>Modif Tranches d'imposition 2022 + Plafond quotient familial</t>
  </si>
  <si>
    <t>Plafond des niches fiscales France Métropole</t>
  </si>
  <si>
    <t>Modif décôte de l'impôt</t>
  </si>
  <si>
    <t>Correction calcul CSG, modif demi-part, modif onglet données</t>
  </si>
  <si>
    <t>Dans l'onglet "Simulateur impôt simplifié 2023" modif Tranches d'imposition 2023 + Plafond quotient familial 2023 / demi-part supplémentaire + Décôte de l'impôt</t>
  </si>
  <si>
    <t>Modif Tranches d'imposition 2024</t>
  </si>
  <si>
    <t>https://www.corrigetonimpot.fr/decote-impot-revenu-calcul-declaration/</t>
  </si>
  <si>
    <t>https://www.quechoisir.org/actualite-bareme-progressif-de-l-impot-4-8-en-2024-n111386/</t>
  </si>
  <si>
    <t>Modif Plafond quotient familial 2024 + décote de l'impôt 2024 + actualisation "simulateur impôt simplifié 2024" avec tableau croisé dynamique</t>
  </si>
  <si>
    <t>Simulateur impôt sur le revenu 2025</t>
  </si>
  <si>
    <t>Tranches d'imposition 2025</t>
  </si>
  <si>
    <t>Plafond quotient familial 2025 / demi-part supplémentraire</t>
  </si>
  <si>
    <t>https://www.quechoisir.org/actualite-impots-2025-l-indexation-du-bareme-finalement-limitee-a-1-8-n149064/</t>
  </si>
  <si>
    <t>Parent isolé cases T + N</t>
  </si>
  <si>
    <t>Enfant élevé seul case L</t>
  </si>
  <si>
    <t>Modif parent isolé + Enfant élevé seul</t>
  </si>
  <si>
    <t>Tranche 0%</t>
  </si>
  <si>
    <t>Tranche 11%</t>
  </si>
  <si>
    <t>Tranche 30%</t>
  </si>
  <si>
    <t>Tranche 41%</t>
  </si>
  <si>
    <t>Tranche 45%</t>
  </si>
  <si>
    <t>Versement FCPI</t>
  </si>
  <si>
    <t>Pinel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</si>
</sst>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44" formatCode="_-* #,##0.00\ &quot;€&quot;_-;\-* #,##0.00\ &quot;€&quot;_-;_-* &quot;-&quot;??\ &quot;€&quot;_-;_-@_-"/>
    <numFmt numFmtId="164" formatCode="#,##0\ &quot;€&quot;"/>
    <numFmt numFmtId="165" formatCode="_-* #,##0\ &quot;€&quot;_-;\-* #,##0\ &quot;€&quot;_-;_-* &quot;-&quot;??\ &quot;€&quot;_-;_-@_-"/>
    <numFmt numFmtId="166" formatCode="#,##0.00\ &quot;€&quot;"/>
  </numFmts>
  <fonts count="2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i/>
      <sz val="11"/>
      <color theme="1"/>
      <name val="Calibri"/>
      <family val="2"/>
      <scheme val="minor"/>
    </font>
    <font>
      <sz val="10"/>
      <color theme="1"/>
      <name val="Calibri"/>
      <family val="2"/>
      <scheme val="minor"/>
    </font>
    <font>
      <sz val="9"/>
      <color theme="1"/>
      <name val="Calibri"/>
      <family val="2"/>
      <scheme val="minor"/>
    </font>
    <font>
      <i/>
      <sz val="10"/>
      <color theme="1"/>
      <name val="Calibri"/>
      <family val="2"/>
      <scheme val="minor"/>
    </font>
    <font>
      <sz val="9"/>
      <color indexed="81"/>
      <name val="Tahoma"/>
      <family val="2"/>
    </font>
    <font>
      <b/>
      <sz val="9"/>
      <color indexed="81"/>
      <name val="Tahoma"/>
      <family val="2"/>
    </font>
    <font>
      <i/>
      <sz val="11"/>
      <color rgb="FFFF0000"/>
      <name val="Calibri"/>
      <family val="2"/>
      <scheme val="minor"/>
    </font>
    <font>
      <i/>
      <sz val="8"/>
      <color theme="1"/>
      <name val="Calibri"/>
      <family val="2"/>
      <scheme val="minor"/>
    </font>
    <font>
      <sz val="14"/>
      <color theme="1"/>
      <name val="Calibri"/>
      <family val="2"/>
      <scheme val="minor"/>
    </font>
    <font>
      <i/>
      <sz val="8"/>
      <color rgb="FFFF0000"/>
      <name val="Calibri"/>
      <family val="2"/>
      <scheme val="minor"/>
    </font>
    <font>
      <i/>
      <sz val="10"/>
      <color rgb="FFFF0000"/>
      <name val="Calibri"/>
      <family val="2"/>
      <scheme val="minor"/>
    </font>
    <font>
      <sz val="8"/>
      <color rgb="FFFF0000"/>
      <name val="Calibri"/>
      <family val="2"/>
      <scheme val="minor"/>
    </font>
    <font>
      <i/>
      <sz val="11"/>
      <color rgb="FF0070C0"/>
      <name val="Calibri"/>
      <family val="2"/>
      <scheme val="minor"/>
    </font>
    <font>
      <b/>
      <sz val="11"/>
      <color theme="1"/>
      <name val="Calibri"/>
      <family val="2"/>
    </font>
    <font>
      <b/>
      <i/>
      <sz val="11"/>
      <color theme="1"/>
      <name val="Calibri"/>
      <family val="2"/>
      <scheme val="minor"/>
    </font>
    <font>
      <b/>
      <i/>
      <u/>
      <sz val="10"/>
      <color theme="1"/>
      <name val="Calibri"/>
      <family val="2"/>
      <scheme val="minor"/>
    </font>
    <font>
      <b/>
      <sz val="12"/>
      <color rgb="FFFF0000"/>
      <name val="Calibri"/>
      <family val="2"/>
      <scheme val="minor"/>
    </font>
    <font>
      <b/>
      <u/>
      <sz val="16"/>
      <color rgb="FFFF0000"/>
      <name val="Calibri"/>
      <family val="2"/>
      <scheme val="minor"/>
    </font>
    <font>
      <b/>
      <sz val="16"/>
      <color rgb="FFFF0000"/>
      <name val="Calibri"/>
      <family val="2"/>
      <scheme val="minor"/>
    </font>
    <font>
      <i/>
      <u/>
      <sz val="10"/>
      <color theme="1"/>
      <name val="Calibri"/>
      <family val="2"/>
      <scheme val="minor"/>
    </font>
    <font>
      <b/>
      <i/>
      <sz val="14"/>
      <color rgb="FF0070C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44" fontId="1" fillId="0" borderId="0" applyFont="0" applyFill="0" applyBorder="0" applyAlignment="0" applyProtection="0"/>
  </cellStyleXfs>
  <cellXfs count="114">
    <xf numFmtId="0" fontId="0" fillId="0" borderId="0" xfId="0"/>
    <xf numFmtId="6" fontId="0" fillId="0" borderId="0" xfId="0" applyNumberFormat="1"/>
    <xf numFmtId="9" fontId="0" fillId="0" borderId="0" xfId="0" applyNumberFormat="1"/>
    <xf numFmtId="0" fontId="0" fillId="0" borderId="1" xfId="0" applyBorder="1"/>
    <xf numFmtId="6" fontId="0" fillId="0" borderId="1" xfId="0" applyNumberFormat="1" applyBorder="1" applyAlignment="1">
      <alignment horizontal="center"/>
    </xf>
    <xf numFmtId="6" fontId="0" fillId="0" borderId="0" xfId="0" applyNumberFormat="1" applyAlignment="1">
      <alignment horizontal="left"/>
    </xf>
    <xf numFmtId="0" fontId="5" fillId="0" borderId="0" xfId="2"/>
    <xf numFmtId="10" fontId="0" fillId="0" borderId="0" xfId="0" applyNumberFormat="1"/>
    <xf numFmtId="164" fontId="0" fillId="0" borderId="0" xfId="0" applyNumberFormat="1"/>
    <xf numFmtId="0" fontId="2" fillId="0" borderId="0" xfId="0" applyFont="1"/>
    <xf numFmtId="0" fontId="6" fillId="0" borderId="0" xfId="0" applyFont="1" applyAlignment="1">
      <alignment horizontal="center"/>
    </xf>
    <xf numFmtId="0" fontId="7" fillId="0" borderId="0" xfId="0" applyFont="1"/>
    <xf numFmtId="0" fontId="8" fillId="0" borderId="0" xfId="0" applyFont="1"/>
    <xf numFmtId="0" fontId="12" fillId="0" borderId="0" xfId="0" applyFont="1"/>
    <xf numFmtId="164" fontId="12" fillId="0" borderId="0" xfId="0" applyNumberFormat="1" applyFont="1"/>
    <xf numFmtId="0" fontId="0" fillId="0" borderId="3" xfId="0" applyBorder="1"/>
    <xf numFmtId="0" fontId="0" fillId="0" borderId="4" xfId="0" applyBorder="1"/>
    <xf numFmtId="6" fontId="0" fillId="0" borderId="5" xfId="0" applyNumberFormat="1" applyBorder="1" applyAlignment="1">
      <alignment horizontal="center"/>
    </xf>
    <xf numFmtId="9" fontId="0" fillId="0" borderId="6" xfId="0" applyNumberFormat="1" applyBorder="1" applyAlignment="1">
      <alignment horizontal="center"/>
    </xf>
    <xf numFmtId="6" fontId="0" fillId="0" borderId="7" xfId="0" applyNumberFormat="1" applyBorder="1" applyAlignment="1">
      <alignment horizontal="center"/>
    </xf>
    <xf numFmtId="0" fontId="0" fillId="0" borderId="8" xfId="0" applyBorder="1" applyAlignment="1">
      <alignment horizontal="center"/>
    </xf>
    <xf numFmtId="9" fontId="0" fillId="0" borderId="9" xfId="0" applyNumberFormat="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4" fillId="2" borderId="2" xfId="0" applyFont="1" applyFill="1" applyBorder="1"/>
    <xf numFmtId="0" fontId="0" fillId="0" borderId="16" xfId="0" applyBorder="1"/>
    <xf numFmtId="0" fontId="0" fillId="0" borderId="17" xfId="0" applyBorder="1"/>
    <xf numFmtId="0" fontId="0" fillId="2" borderId="4" xfId="0" applyFill="1" applyBorder="1"/>
    <xf numFmtId="6" fontId="0" fillId="0" borderId="11" xfId="0" applyNumberFormat="1" applyBorder="1" applyAlignment="1">
      <alignment horizontal="left"/>
    </xf>
    <xf numFmtId="6" fontId="0" fillId="0" borderId="14" xfId="0" applyNumberFormat="1" applyBorder="1" applyAlignment="1">
      <alignment horizontal="left"/>
    </xf>
    <xf numFmtId="0" fontId="4" fillId="2" borderId="15" xfId="0" applyFont="1" applyFill="1" applyBorder="1"/>
    <xf numFmtId="0" fontId="4" fillId="2" borderId="2" xfId="0" applyFont="1" applyFill="1" applyBorder="1" applyAlignment="1">
      <alignment horizontal="left"/>
    </xf>
    <xf numFmtId="0" fontId="4" fillId="2" borderId="15" xfId="0" applyFont="1" applyFill="1" applyBorder="1" applyAlignment="1">
      <alignment horizontal="left"/>
    </xf>
    <xf numFmtId="0" fontId="13" fillId="0" borderId="0" xfId="0" applyFont="1"/>
    <xf numFmtId="14" fontId="0" fillId="0" borderId="1" xfId="0" applyNumberFormat="1" applyBorder="1"/>
    <xf numFmtId="0" fontId="3" fillId="3" borderId="1" xfId="0" applyFont="1" applyFill="1" applyBorder="1" applyAlignment="1">
      <alignment horizontal="center"/>
    </xf>
    <xf numFmtId="0" fontId="5" fillId="0" borderId="12" xfId="2" applyBorder="1"/>
    <xf numFmtId="0" fontId="4" fillId="2" borderId="3" xfId="0" applyFont="1" applyFill="1" applyBorder="1"/>
    <xf numFmtId="0" fontId="4" fillId="2" borderId="4" xfId="0" applyFont="1" applyFill="1" applyBorder="1"/>
    <xf numFmtId="0" fontId="15" fillId="0" borderId="0" xfId="0" applyFont="1"/>
    <xf numFmtId="0" fontId="6" fillId="0" borderId="1" xfId="0" applyFont="1" applyBorder="1"/>
    <xf numFmtId="0" fontId="9" fillId="0" borderId="1" xfId="0" applyFont="1" applyBorder="1"/>
    <xf numFmtId="6" fontId="12" fillId="0" borderId="0" xfId="0" applyNumberFormat="1" applyFont="1"/>
    <xf numFmtId="6" fontId="16" fillId="0" borderId="0" xfId="0" applyNumberFormat="1" applyFont="1"/>
    <xf numFmtId="0" fontId="5" fillId="0" borderId="3" xfId="2" applyBorder="1"/>
    <xf numFmtId="6" fontId="15" fillId="0" borderId="0" xfId="0" applyNumberFormat="1" applyFont="1"/>
    <xf numFmtId="6" fontId="0" fillId="0" borderId="11" xfId="0" applyNumberFormat="1" applyBorder="1"/>
    <xf numFmtId="6" fontId="0" fillId="0" borderId="13" xfId="0" applyNumberFormat="1" applyBorder="1"/>
    <xf numFmtId="6" fontId="0" fillId="0" borderId="14" xfId="0" applyNumberFormat="1" applyBorder="1"/>
    <xf numFmtId="6" fontId="17" fillId="0" borderId="0" xfId="0" applyNumberFormat="1" applyFont="1" applyAlignment="1">
      <alignment horizontal="center" vertical="center" wrapText="1"/>
    </xf>
    <xf numFmtId="0" fontId="9" fillId="0" borderId="1" xfId="0" applyFont="1" applyBorder="1" applyAlignment="1">
      <alignment vertical="center"/>
    </xf>
    <xf numFmtId="0" fontId="17" fillId="0" borderId="0" xfId="0" applyFont="1"/>
    <xf numFmtId="6" fontId="0" fillId="0" borderId="0" xfId="0" applyNumberFormat="1" applyAlignment="1">
      <alignment horizontal="center"/>
    </xf>
    <xf numFmtId="0" fontId="18" fillId="0" borderId="0" xfId="0" applyFont="1"/>
    <xf numFmtId="6" fontId="17" fillId="0" borderId="0" xfId="0" applyNumberFormat="1" applyFont="1" applyAlignment="1">
      <alignment horizontal="center"/>
    </xf>
    <xf numFmtId="164" fontId="0" fillId="5" borderId="1" xfId="0" applyNumberFormat="1" applyFill="1" applyBorder="1" applyAlignment="1">
      <alignment horizontal="center"/>
    </xf>
    <xf numFmtId="164" fontId="3" fillId="0" borderId="0" xfId="0" applyNumberFormat="1" applyFont="1" applyAlignment="1">
      <alignment horizontal="center"/>
    </xf>
    <xf numFmtId="0" fontId="3" fillId="0" borderId="0" xfId="0" applyFont="1" applyAlignment="1">
      <alignment horizontal="right"/>
    </xf>
    <xf numFmtId="0" fontId="20" fillId="0" borderId="1" xfId="0" applyFont="1" applyBorder="1"/>
    <xf numFmtId="0" fontId="21" fillId="0" borderId="0" xfId="0" applyFont="1" applyAlignment="1">
      <alignment horizontal="right"/>
    </xf>
    <xf numFmtId="0" fontId="23" fillId="0" borderId="0" xfId="0" applyFont="1" applyAlignment="1">
      <alignment horizontal="right"/>
    </xf>
    <xf numFmtId="0" fontId="0" fillId="0" borderId="0" xfId="0" applyAlignment="1">
      <alignment horizontal="right"/>
    </xf>
    <xf numFmtId="164" fontId="24" fillId="2" borderId="0" xfId="0" applyNumberFormat="1" applyFont="1" applyFill="1"/>
    <xf numFmtId="0" fontId="0" fillId="4" borderId="1" xfId="0" applyFill="1" applyBorder="1"/>
    <xf numFmtId="10" fontId="0" fillId="0" borderId="3" xfId="0" applyNumberFormat="1" applyBorder="1"/>
    <xf numFmtId="9" fontId="0" fillId="0" borderId="13" xfId="0" applyNumberFormat="1" applyBorder="1"/>
    <xf numFmtId="10" fontId="0" fillId="0" borderId="14" xfId="0" applyNumberFormat="1" applyBorder="1"/>
    <xf numFmtId="0" fontId="4" fillId="2" borderId="12" xfId="0" applyFont="1" applyFill="1" applyBorder="1"/>
    <xf numFmtId="6" fontId="0" fillId="0" borderId="4" xfId="0" applyNumberFormat="1" applyBorder="1"/>
    <xf numFmtId="0" fontId="5" fillId="0" borderId="0" xfId="2" applyBorder="1"/>
    <xf numFmtId="0" fontId="25" fillId="0" borderId="0" xfId="0" applyFont="1" applyAlignment="1">
      <alignment horizontal="right"/>
    </xf>
    <xf numFmtId="165" fontId="3" fillId="0" borderId="0" xfId="0" applyNumberFormat="1" applyFont="1"/>
    <xf numFmtId="0" fontId="0" fillId="4" borderId="1" xfId="0" applyFill="1" applyBorder="1" applyAlignment="1">
      <alignment horizontal="center"/>
    </xf>
    <xf numFmtId="0" fontId="0" fillId="2" borderId="2" xfId="0" applyFill="1" applyBorder="1"/>
    <xf numFmtId="0" fontId="4" fillId="2" borderId="0" xfId="0" applyFont="1" applyFill="1"/>
    <xf numFmtId="0" fontId="0" fillId="5" borderId="1" xfId="0" applyFill="1" applyBorder="1" applyAlignment="1">
      <alignment horizontal="center"/>
    </xf>
    <xf numFmtId="164" fontId="20" fillId="7" borderId="1" xfId="0" applyNumberFormat="1" applyFont="1" applyFill="1" applyBorder="1" applyAlignment="1">
      <alignment horizontal="center"/>
    </xf>
    <xf numFmtId="0" fontId="6" fillId="7" borderId="1" xfId="0" applyFont="1" applyFill="1" applyBorder="1" applyAlignment="1">
      <alignment horizontal="center"/>
    </xf>
    <xf numFmtId="9" fontId="6" fillId="7" borderId="1" xfId="1" applyFont="1" applyFill="1" applyBorder="1" applyAlignment="1">
      <alignment horizontal="center"/>
    </xf>
    <xf numFmtId="164" fontId="22" fillId="7" borderId="1" xfId="0" applyNumberFormat="1" applyFont="1" applyFill="1" applyBorder="1"/>
    <xf numFmtId="164" fontId="0" fillId="7" borderId="1" xfId="0" applyNumberFormat="1" applyFill="1" applyBorder="1"/>
    <xf numFmtId="0" fontId="0" fillId="5" borderId="1" xfId="0" applyFill="1" applyBorder="1" applyAlignment="1">
      <alignment horizontal="left"/>
    </xf>
    <xf numFmtId="0" fontId="0" fillId="5" borderId="1" xfId="0" applyFill="1" applyBorder="1" applyAlignment="1">
      <alignment horizontal="center" vertical="center"/>
    </xf>
    <xf numFmtId="6" fontId="0" fillId="5" borderId="1" xfId="0" applyNumberFormat="1" applyFill="1" applyBorder="1" applyAlignment="1">
      <alignment horizontal="center"/>
    </xf>
    <xf numFmtId="164" fontId="0" fillId="7" borderId="1" xfId="0" applyNumberFormat="1" applyFill="1" applyBorder="1" applyAlignment="1">
      <alignment horizontal="center"/>
    </xf>
    <xf numFmtId="6" fontId="0" fillId="7" borderId="1" xfId="0" applyNumberFormat="1" applyFill="1" applyBorder="1"/>
    <xf numFmtId="0" fontId="0" fillId="0" borderId="0" xfId="0" applyAlignment="1">
      <alignment horizontal="center"/>
    </xf>
    <xf numFmtId="0" fontId="26" fillId="0" borderId="0" xfId="0" applyFont="1"/>
    <xf numFmtId="164" fontId="0" fillId="5" borderId="0" xfId="0" applyNumberFormat="1" applyFill="1" applyAlignment="1">
      <alignment horizontal="center"/>
    </xf>
    <xf numFmtId="166" fontId="0" fillId="0" borderId="0" xfId="0" applyNumberFormat="1"/>
    <xf numFmtId="165" fontId="0" fillId="0" borderId="1" xfId="3" applyNumberFormat="1" applyFont="1" applyBorder="1"/>
    <xf numFmtId="165" fontId="0" fillId="0" borderId="0" xfId="3" applyNumberFormat="1" applyFont="1"/>
    <xf numFmtId="0" fontId="0" fillId="0" borderId="24" xfId="0" applyBorder="1" applyAlignment="1">
      <alignment horizontal="center"/>
    </xf>
    <xf numFmtId="0" fontId="0" fillId="0" borderId="23" xfId="0" applyBorder="1" applyAlignment="1">
      <alignment horizontal="center"/>
    </xf>
    <xf numFmtId="0" fontId="0" fillId="4" borderId="18" xfId="0" applyFill="1" applyBorder="1" applyAlignment="1">
      <alignment horizontal="center" vertical="center" textRotation="90"/>
    </xf>
    <xf numFmtId="0" fontId="0" fillId="4" borderId="19" xfId="0" applyFill="1" applyBorder="1" applyAlignment="1">
      <alignment horizontal="center" vertical="center" textRotation="90"/>
    </xf>
    <xf numFmtId="0" fontId="0" fillId="4" borderId="20" xfId="0" applyFill="1" applyBorder="1" applyAlignment="1">
      <alignment horizontal="center" vertical="center" textRotation="90"/>
    </xf>
    <xf numFmtId="0" fontId="14" fillId="6" borderId="21" xfId="0" applyFont="1" applyFill="1" applyBorder="1" applyAlignment="1">
      <alignment horizontal="center" vertical="center"/>
    </xf>
    <xf numFmtId="0" fontId="14" fillId="6" borderId="22" xfId="0" applyFont="1" applyFill="1" applyBorder="1" applyAlignment="1">
      <alignment horizontal="center" vertical="center"/>
    </xf>
    <xf numFmtId="0" fontId="7" fillId="4" borderId="18" xfId="0" applyFont="1" applyFill="1" applyBorder="1" applyAlignment="1">
      <alignment horizontal="center" vertical="center" textRotation="90"/>
    </xf>
    <xf numFmtId="0" fontId="7" fillId="4" borderId="19" xfId="0" applyFont="1" applyFill="1" applyBorder="1" applyAlignment="1">
      <alignment horizontal="center" vertical="center" textRotation="90"/>
    </xf>
    <xf numFmtId="0" fontId="7" fillId="4" borderId="20" xfId="0" applyFont="1" applyFill="1" applyBorder="1" applyAlignment="1">
      <alignment horizontal="center" vertical="center" textRotation="90"/>
    </xf>
    <xf numFmtId="0" fontId="7" fillId="4" borderId="18" xfId="0" applyFont="1" applyFill="1" applyBorder="1" applyAlignment="1">
      <alignment horizontal="center" vertical="center" textRotation="90" wrapText="1"/>
    </xf>
    <xf numFmtId="0" fontId="7" fillId="4" borderId="19" xfId="0" applyFont="1" applyFill="1" applyBorder="1" applyAlignment="1">
      <alignment horizontal="center" vertical="center" textRotation="90" wrapText="1"/>
    </xf>
    <xf numFmtId="0" fontId="7" fillId="4" borderId="20" xfId="0" applyFont="1" applyFill="1" applyBorder="1" applyAlignment="1">
      <alignment horizontal="center" vertical="center" textRotation="90" wrapText="1"/>
    </xf>
    <xf numFmtId="0" fontId="22" fillId="5" borderId="24" xfId="0" applyFont="1" applyFill="1" applyBorder="1" applyAlignment="1">
      <alignment horizontal="center"/>
    </xf>
    <xf numFmtId="0" fontId="22" fillId="5" borderId="23" xfId="0" applyFont="1" applyFill="1" applyBorder="1" applyAlignment="1">
      <alignment horizontal="center"/>
    </xf>
    <xf numFmtId="0" fontId="7" fillId="4" borderId="1" xfId="0" applyFont="1" applyFill="1" applyBorder="1" applyAlignment="1">
      <alignment horizontal="center" vertical="center" textRotation="90"/>
    </xf>
    <xf numFmtId="0" fontId="0" fillId="4" borderId="18" xfId="0" applyFill="1" applyBorder="1" applyAlignment="1">
      <alignment horizontal="center" vertical="center" wrapText="1"/>
    </xf>
    <xf numFmtId="0" fontId="0" fillId="4" borderId="19" xfId="0" applyFill="1" applyBorder="1" applyAlignment="1">
      <alignment horizontal="center" vertical="center" wrapText="1"/>
    </xf>
    <xf numFmtId="0" fontId="0" fillId="4" borderId="20" xfId="0" applyFill="1" applyBorder="1" applyAlignment="1">
      <alignment horizontal="center" vertical="center" wrapText="1"/>
    </xf>
  </cellXfs>
  <cellStyles count="4">
    <cellStyle name="Lien hypertexte" xfId="2" builtinId="8"/>
    <cellStyle name="Monétaire" xfId="3" builtinId="4"/>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133351</xdr:colOff>
      <xdr:row>8</xdr:row>
      <xdr:rowOff>159603</xdr:rowOff>
    </xdr:from>
    <xdr:to>
      <xdr:col>8</xdr:col>
      <xdr:colOff>762000</xdr:colOff>
      <xdr:row>17</xdr:row>
      <xdr:rowOff>39263</xdr:rowOff>
    </xdr:to>
    <xdr:pic>
      <xdr:nvPicPr>
        <xdr:cNvPr id="2" name="Image 1">
          <a:extLst>
            <a:ext uri="{FF2B5EF4-FFF2-40B4-BE49-F238E27FC236}">
              <a16:creationId xmlns:a16="http://schemas.microsoft.com/office/drawing/2014/main" id="{25CD0403-7781-4FA2-8286-73DEA23C4E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96176" y="1712178"/>
          <a:ext cx="4267199" cy="1613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impotsurlerevenu.org/declarer-ses-revenus/701-l-imposition-des-bic-et-bnc.php" TargetMode="External"/><Relationship Id="rId13" Type="http://schemas.openxmlformats.org/officeDocument/2006/relationships/drawing" Target="../drawings/drawing1.xml"/><Relationship Id="rId3" Type="http://schemas.openxmlformats.org/officeDocument/2006/relationships/hyperlink" Target="https://www.lecoindesentrepreneurs.fr/bic-benefices-industriels-et-commerciaux/" TargetMode="External"/><Relationship Id="rId7" Type="http://schemas.openxmlformats.org/officeDocument/2006/relationships/hyperlink" Target="http://impotsurlerevenu.org/fonctionnement-de-l-impot/210-plafonnement-du-quotient-familial.php" TargetMode="External"/><Relationship Id="rId12" Type="http://schemas.openxmlformats.org/officeDocument/2006/relationships/printerSettings" Target="../printerSettings/printerSettings1.bin"/><Relationship Id="rId2" Type="http://schemas.openxmlformats.org/officeDocument/2006/relationships/hyperlink" Target="https://www.lecoindesentrepreneurs.fr/regime-micro-benefice-agricole/" TargetMode="External"/><Relationship Id="rId1" Type="http://schemas.openxmlformats.org/officeDocument/2006/relationships/hyperlink" Target="https://www.corrigetonimpot.fr/taux-effectif-impot-definition-calcul-auto-entrepreneur/" TargetMode="External"/><Relationship Id="rId6" Type="http://schemas.openxmlformats.org/officeDocument/2006/relationships/hyperlink" Target="http://impotsurlerevenu.org/fonctionnement-de-l-impot/207-part-fiscale-et-garde-alternee.php" TargetMode="External"/><Relationship Id="rId11" Type="http://schemas.openxmlformats.org/officeDocument/2006/relationships/hyperlink" Target="https://www.quechoisir.org/actualite-impots-2025-l-indexation-du-bareme-finalement-limitee-a-1-8-n149064/" TargetMode="External"/><Relationship Id="rId5" Type="http://schemas.openxmlformats.org/officeDocument/2006/relationships/hyperlink" Target="https://www.cfdt.fr/portail/outils/special-impot-2021/les-pensions-et-retraites/pensions-retraites-et-rentes-viageres-srv1_1174494" TargetMode="External"/><Relationship Id="rId10" Type="http://schemas.openxmlformats.org/officeDocument/2006/relationships/hyperlink" Target="https://www.corrigetonimpot.fr/decote-impot-revenu-calcul-declaration/" TargetMode="External"/><Relationship Id="rId4" Type="http://schemas.openxmlformats.org/officeDocument/2006/relationships/hyperlink" Target="https://www3.impots.gouv.fr/simulateur/calcul_impot/2021/complet/index.htm" TargetMode="External"/><Relationship Id="rId9" Type="http://schemas.openxmlformats.org/officeDocument/2006/relationships/hyperlink" Target="https://www.impots.gouv.fr/portail/particulier/emploi-domicile"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www.quechoisir.org/actualite-bareme-progressif-de-l-impot-4-8-en-2024-n111386/"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71562-FD17-47C0-9DA1-A1E9FE2F79C2}">
  <dimension ref="A1:B16"/>
  <sheetViews>
    <sheetView workbookViewId="0">
      <selection activeCell="B12" sqref="B12"/>
    </sheetView>
  </sheetViews>
  <sheetFormatPr baseColWidth="10" defaultRowHeight="14.4" x14ac:dyDescent="0.3"/>
  <cols>
    <col min="1" max="1" width="14.44140625" customWidth="1"/>
    <col min="2" max="2" width="147.5546875" bestFit="1" customWidth="1"/>
  </cols>
  <sheetData>
    <row r="1" spans="1:2" x14ac:dyDescent="0.3">
      <c r="A1" s="38" t="s">
        <v>47</v>
      </c>
      <c r="B1" s="38" t="s">
        <v>48</v>
      </c>
    </row>
    <row r="2" spans="1:2" x14ac:dyDescent="0.3">
      <c r="A2" s="37">
        <v>44369</v>
      </c>
      <c r="B2" s="3" t="s">
        <v>49</v>
      </c>
    </row>
    <row r="3" spans="1:2" x14ac:dyDescent="0.3">
      <c r="A3" s="37">
        <v>44386</v>
      </c>
      <c r="B3" s="3" t="s">
        <v>100</v>
      </c>
    </row>
    <row r="4" spans="1:2" x14ac:dyDescent="0.3">
      <c r="A4" s="37">
        <v>44915</v>
      </c>
      <c r="B4" s="3" t="s">
        <v>105</v>
      </c>
    </row>
    <row r="5" spans="1:2" x14ac:dyDescent="0.3">
      <c r="A5" s="37">
        <v>44932</v>
      </c>
      <c r="B5" s="3" t="s">
        <v>107</v>
      </c>
    </row>
    <row r="6" spans="1:2" x14ac:dyDescent="0.3">
      <c r="A6" s="37">
        <v>44973</v>
      </c>
      <c r="B6" s="3" t="s">
        <v>108</v>
      </c>
    </row>
    <row r="7" spans="1:2" x14ac:dyDescent="0.3">
      <c r="A7" s="37">
        <v>45013</v>
      </c>
      <c r="B7" s="3" t="s">
        <v>109</v>
      </c>
    </row>
    <row r="8" spans="1:2" x14ac:dyDescent="0.3">
      <c r="A8" s="37">
        <v>45280</v>
      </c>
      <c r="B8" s="3" t="s">
        <v>110</v>
      </c>
    </row>
    <row r="9" spans="1:2" x14ac:dyDescent="0.3">
      <c r="A9" s="37">
        <v>45296</v>
      </c>
      <c r="B9" s="3" t="s">
        <v>113</v>
      </c>
    </row>
    <row r="10" spans="1:2" x14ac:dyDescent="0.3">
      <c r="A10" s="37">
        <v>45726</v>
      </c>
      <c r="B10" s="3" t="s">
        <v>113</v>
      </c>
    </row>
    <row r="11" spans="1:2" x14ac:dyDescent="0.3">
      <c r="A11" s="37">
        <v>45988</v>
      </c>
      <c r="B11" s="3" t="s">
        <v>120</v>
      </c>
    </row>
    <row r="12" spans="1:2" x14ac:dyDescent="0.3">
      <c r="A12" s="3"/>
      <c r="B12" s="3"/>
    </row>
    <row r="13" spans="1:2" x14ac:dyDescent="0.3">
      <c r="A13" s="3"/>
      <c r="B13" s="3"/>
    </row>
    <row r="14" spans="1:2" x14ac:dyDescent="0.3">
      <c r="A14" s="3"/>
      <c r="B14" s="3"/>
    </row>
    <row r="15" spans="1:2" x14ac:dyDescent="0.3">
      <c r="A15" s="3"/>
      <c r="B15" s="3"/>
    </row>
    <row r="16" spans="1:2" x14ac:dyDescent="0.3">
      <c r="A16" s="3"/>
      <c r="B16" s="3"/>
    </row>
  </sheetData>
  <pageMargins left="0.7" right="0.7" top="0.75" bottom="0.75" header="0.3" footer="0.3"/>
  <headerFooter>
    <oddFooter>&amp;L_x000D_&amp;1#&amp;"Calibri"&amp;10&amp;K008000 Confidential -C2-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C496-870C-4DF3-802E-20180E1B871B}">
  <dimension ref="A1:M51"/>
  <sheetViews>
    <sheetView workbookViewId="0">
      <selection activeCell="D11" sqref="D11"/>
    </sheetView>
  </sheetViews>
  <sheetFormatPr baseColWidth="10" defaultRowHeight="14.4" x14ac:dyDescent="0.3"/>
  <cols>
    <col min="1" max="1" width="39.109375" customWidth="1"/>
    <col min="2" max="2" width="19.109375" customWidth="1"/>
    <col min="4" max="4" width="29.21875" customWidth="1"/>
    <col min="6" max="6" width="29.88671875" customWidth="1"/>
    <col min="8" max="8" width="13.21875" customWidth="1"/>
    <col min="9" max="9" width="13" customWidth="1"/>
  </cols>
  <sheetData>
    <row r="1" spans="1:13" ht="15" thickBot="1" x14ac:dyDescent="0.35"/>
    <row r="2" spans="1:13" x14ac:dyDescent="0.3">
      <c r="A2" s="34" t="s">
        <v>115</v>
      </c>
      <c r="B2" s="15"/>
      <c r="C2" s="16"/>
      <c r="F2" s="34" t="s">
        <v>32</v>
      </c>
      <c r="G2" s="47" t="s">
        <v>33</v>
      </c>
      <c r="H2" s="15"/>
      <c r="I2" s="15"/>
      <c r="J2" s="15"/>
      <c r="K2" s="15"/>
      <c r="L2" s="15"/>
      <c r="M2" s="16" t="s">
        <v>66</v>
      </c>
    </row>
    <row r="3" spans="1:13" x14ac:dyDescent="0.3">
      <c r="A3" s="17">
        <v>0</v>
      </c>
      <c r="B3" s="4">
        <v>11600</v>
      </c>
      <c r="C3" s="18">
        <v>0</v>
      </c>
      <c r="F3" s="22" t="s">
        <v>2</v>
      </c>
      <c r="G3" s="72" t="s">
        <v>11</v>
      </c>
      <c r="M3" s="23" t="s">
        <v>66</v>
      </c>
    </row>
    <row r="4" spans="1:13" x14ac:dyDescent="0.3">
      <c r="A4" s="17">
        <f>B3</f>
        <v>11600</v>
      </c>
      <c r="B4" s="4">
        <v>29579</v>
      </c>
      <c r="C4" s="18">
        <v>0.11</v>
      </c>
      <c r="F4" s="22" t="s">
        <v>88</v>
      </c>
      <c r="G4" s="72" t="s">
        <v>12</v>
      </c>
      <c r="M4" s="23" t="s">
        <v>66</v>
      </c>
    </row>
    <row r="5" spans="1:13" x14ac:dyDescent="0.3">
      <c r="A5" s="17">
        <f>B4</f>
        <v>29579</v>
      </c>
      <c r="B5" s="4">
        <v>54577</v>
      </c>
      <c r="C5" s="18">
        <v>0.3</v>
      </c>
      <c r="F5" s="22" t="s">
        <v>118</v>
      </c>
      <c r="M5" s="23"/>
    </row>
    <row r="6" spans="1:13" x14ac:dyDescent="0.3">
      <c r="A6" s="17">
        <f>B5</f>
        <v>54577</v>
      </c>
      <c r="B6" s="4">
        <v>181917</v>
      </c>
      <c r="C6" s="18">
        <v>0.41</v>
      </c>
      <c r="F6" s="22" t="s">
        <v>119</v>
      </c>
      <c r="M6" s="23"/>
    </row>
    <row r="7" spans="1:13" ht="15" thickBot="1" x14ac:dyDescent="0.35">
      <c r="A7" s="19">
        <f>B6</f>
        <v>181917</v>
      </c>
      <c r="B7" s="20"/>
      <c r="C7" s="21">
        <v>0.45</v>
      </c>
      <c r="F7" s="22" t="s">
        <v>34</v>
      </c>
      <c r="M7" s="23"/>
    </row>
    <row r="8" spans="1:13" ht="15" thickBot="1" x14ac:dyDescent="0.35">
      <c r="F8" s="22" t="s">
        <v>35</v>
      </c>
      <c r="M8" s="23"/>
    </row>
    <row r="9" spans="1:13" x14ac:dyDescent="0.3">
      <c r="A9" s="35" t="s">
        <v>0</v>
      </c>
      <c r="F9" s="22"/>
      <c r="M9" s="23"/>
    </row>
    <row r="10" spans="1:13" x14ac:dyDescent="0.3">
      <c r="A10" s="28" t="s">
        <v>91</v>
      </c>
      <c r="F10" s="22"/>
      <c r="M10" s="23"/>
    </row>
    <row r="11" spans="1:13" x14ac:dyDescent="0.3">
      <c r="A11" s="28" t="s">
        <v>92</v>
      </c>
      <c r="C11" s="1"/>
      <c r="F11" s="22"/>
      <c r="M11" s="23"/>
    </row>
    <row r="12" spans="1:13" x14ac:dyDescent="0.3">
      <c r="A12" s="28"/>
      <c r="F12" s="22"/>
      <c r="M12" s="23"/>
    </row>
    <row r="13" spans="1:13" x14ac:dyDescent="0.3">
      <c r="A13" s="28"/>
      <c r="F13" s="22"/>
      <c r="M13" s="23"/>
    </row>
    <row r="14" spans="1:13" ht="15" thickBot="1" x14ac:dyDescent="0.35">
      <c r="A14" s="29"/>
      <c r="F14" s="22"/>
      <c r="M14" s="23"/>
    </row>
    <row r="15" spans="1:13" ht="15" thickBot="1" x14ac:dyDescent="0.35">
      <c r="D15" s="35" t="s">
        <v>38</v>
      </c>
      <c r="F15" s="22"/>
      <c r="M15" s="23"/>
    </row>
    <row r="16" spans="1:13" x14ac:dyDescent="0.3">
      <c r="A16" s="27" t="s">
        <v>116</v>
      </c>
      <c r="B16" s="30"/>
      <c r="D16" s="28"/>
      <c r="F16" s="22"/>
      <c r="M16" s="23"/>
    </row>
    <row r="17" spans="1:13" x14ac:dyDescent="0.3">
      <c r="A17" s="22" t="s">
        <v>21</v>
      </c>
      <c r="B17" s="31">
        <v>1807</v>
      </c>
      <c r="D17" s="28" t="s">
        <v>39</v>
      </c>
      <c r="F17" s="22"/>
      <c r="M17" s="23"/>
    </row>
    <row r="18" spans="1:13" ht="15" thickBot="1" x14ac:dyDescent="0.35">
      <c r="A18" s="24" t="s">
        <v>36</v>
      </c>
      <c r="B18" s="32">
        <f>B17*2</f>
        <v>3614</v>
      </c>
      <c r="D18" s="29" t="s">
        <v>40</v>
      </c>
      <c r="F18" s="24"/>
      <c r="G18" s="25"/>
      <c r="H18" s="25"/>
      <c r="I18" s="25"/>
      <c r="J18" s="25"/>
      <c r="K18" s="25"/>
      <c r="L18" s="25"/>
      <c r="M18" s="26"/>
    </row>
    <row r="19" spans="1:13" ht="15" thickBot="1" x14ac:dyDescent="0.35"/>
    <row r="20" spans="1:13" x14ac:dyDescent="0.3">
      <c r="A20" s="27" t="s">
        <v>50</v>
      </c>
      <c r="B20" s="40"/>
      <c r="C20" s="40"/>
      <c r="D20" s="41"/>
      <c r="F20" s="27" t="s">
        <v>20</v>
      </c>
      <c r="G20" s="15"/>
      <c r="H20" s="15"/>
      <c r="I20" s="15"/>
      <c r="J20" s="16"/>
    </row>
    <row r="21" spans="1:13" ht="15" thickBot="1" x14ac:dyDescent="0.35">
      <c r="A21" s="39" t="s">
        <v>51</v>
      </c>
      <c r="B21" s="25"/>
      <c r="C21" s="25"/>
      <c r="D21" s="26"/>
      <c r="F21" s="39" t="s">
        <v>60</v>
      </c>
      <c r="G21" s="25"/>
      <c r="H21" s="25"/>
      <c r="I21" s="25"/>
      <c r="J21" s="26"/>
    </row>
    <row r="22" spans="1:13" ht="15" thickBot="1" x14ac:dyDescent="0.35">
      <c r="F22" s="6" t="s">
        <v>63</v>
      </c>
    </row>
    <row r="23" spans="1:13" ht="15" thickBot="1" x14ac:dyDescent="0.35">
      <c r="A23" s="33" t="s">
        <v>55</v>
      </c>
    </row>
    <row r="24" spans="1:13" x14ac:dyDescent="0.3">
      <c r="A24" s="28"/>
      <c r="F24" s="27" t="s">
        <v>58</v>
      </c>
      <c r="G24" s="15"/>
      <c r="H24" s="15"/>
      <c r="I24" s="15"/>
      <c r="J24" s="16"/>
    </row>
    <row r="25" spans="1:13" ht="15" thickBot="1" x14ac:dyDescent="0.35">
      <c r="A25" s="28" t="s">
        <v>56</v>
      </c>
      <c r="F25" s="39" t="s">
        <v>59</v>
      </c>
      <c r="G25" s="25"/>
      <c r="H25" s="26"/>
      <c r="I25" s="25"/>
      <c r="J25" s="26"/>
    </row>
    <row r="26" spans="1:13" ht="15" thickBot="1" x14ac:dyDescent="0.35">
      <c r="A26" s="29" t="s">
        <v>57</v>
      </c>
      <c r="B26" s="5"/>
    </row>
    <row r="27" spans="1:13" x14ac:dyDescent="0.3">
      <c r="F27" s="27" t="s">
        <v>64</v>
      </c>
      <c r="G27" s="15"/>
      <c r="H27" s="15"/>
      <c r="I27" s="15"/>
      <c r="J27" s="16"/>
    </row>
    <row r="28" spans="1:13" ht="15" thickBot="1" x14ac:dyDescent="0.35">
      <c r="F28" s="39" t="s">
        <v>65</v>
      </c>
      <c r="G28" s="25" t="s">
        <v>66</v>
      </c>
      <c r="H28" s="25"/>
      <c r="I28" s="25"/>
      <c r="J28" s="26"/>
    </row>
    <row r="29" spans="1:13" x14ac:dyDescent="0.3">
      <c r="A29" s="27" t="s">
        <v>68</v>
      </c>
      <c r="B29" s="47" t="s">
        <v>117</v>
      </c>
      <c r="C29" s="15"/>
      <c r="D29" s="15"/>
      <c r="E29" s="16" t="s">
        <v>66</v>
      </c>
    </row>
    <row r="30" spans="1:13" x14ac:dyDescent="0.3">
      <c r="A30" s="22" t="s">
        <v>72</v>
      </c>
      <c r="B30" s="1">
        <v>504</v>
      </c>
      <c r="D30" t="s">
        <v>10</v>
      </c>
      <c r="E30" s="49">
        <v>450</v>
      </c>
    </row>
    <row r="31" spans="1:13" ht="15" thickBot="1" x14ac:dyDescent="0.35">
      <c r="A31" s="24" t="s">
        <v>71</v>
      </c>
      <c r="B31" s="50">
        <v>14426</v>
      </c>
      <c r="C31" s="25"/>
      <c r="D31" s="25" t="s">
        <v>9</v>
      </c>
      <c r="E31" s="51">
        <v>4399</v>
      </c>
    </row>
    <row r="32" spans="1:13" ht="15" thickBot="1" x14ac:dyDescent="0.35"/>
    <row r="33" spans="1:9" x14ac:dyDescent="0.3">
      <c r="A33" s="27" t="s">
        <v>4</v>
      </c>
      <c r="B33" s="47" t="s">
        <v>111</v>
      </c>
      <c r="C33" s="15"/>
      <c r="D33" s="15"/>
      <c r="E33" s="15"/>
      <c r="F33" s="16"/>
      <c r="H33" s="76" t="s">
        <v>89</v>
      </c>
      <c r="I33" s="30" t="s">
        <v>90</v>
      </c>
    </row>
    <row r="34" spans="1:9" x14ac:dyDescent="0.3">
      <c r="A34" s="22" t="s">
        <v>5</v>
      </c>
      <c r="F34" s="23"/>
      <c r="H34" s="22">
        <v>0</v>
      </c>
      <c r="I34" s="23">
        <v>0</v>
      </c>
    </row>
    <row r="35" spans="1:9" x14ac:dyDescent="0.3">
      <c r="A35" s="22" t="s">
        <v>1</v>
      </c>
      <c r="B35" s="1">
        <v>1965</v>
      </c>
      <c r="F35" s="23"/>
      <c r="H35" s="22">
        <v>1</v>
      </c>
      <c r="I35" s="23">
        <v>0.5</v>
      </c>
    </row>
    <row r="36" spans="1:9" x14ac:dyDescent="0.3">
      <c r="A36" s="22" t="s">
        <v>6</v>
      </c>
      <c r="B36" s="1">
        <v>3249</v>
      </c>
      <c r="F36" s="23"/>
      <c r="H36" s="22">
        <v>2</v>
      </c>
      <c r="I36" s="23">
        <v>1</v>
      </c>
    </row>
    <row r="37" spans="1:9" x14ac:dyDescent="0.3">
      <c r="A37" s="22" t="s">
        <v>7</v>
      </c>
      <c r="F37" s="23"/>
      <c r="H37" s="22">
        <v>3</v>
      </c>
      <c r="I37" s="23">
        <v>2</v>
      </c>
    </row>
    <row r="38" spans="1:9" x14ac:dyDescent="0.3">
      <c r="A38" s="22" t="s">
        <v>8</v>
      </c>
      <c r="F38" s="23"/>
      <c r="H38" s="22">
        <v>4</v>
      </c>
      <c r="I38" s="23">
        <v>3</v>
      </c>
    </row>
    <row r="39" spans="1:9" x14ac:dyDescent="0.3">
      <c r="A39" s="22" t="s">
        <v>1</v>
      </c>
      <c r="B39" s="1">
        <v>889</v>
      </c>
      <c r="F39" s="23"/>
      <c r="H39" s="22">
        <v>5</v>
      </c>
      <c r="I39" s="23">
        <v>4</v>
      </c>
    </row>
    <row r="40" spans="1:9" x14ac:dyDescent="0.3">
      <c r="A40" s="22" t="s">
        <v>6</v>
      </c>
      <c r="B40" s="1">
        <v>1470</v>
      </c>
      <c r="F40" s="23"/>
      <c r="H40" s="22">
        <v>6</v>
      </c>
      <c r="I40" s="23">
        <v>5</v>
      </c>
    </row>
    <row r="41" spans="1:9" ht="15" thickBot="1" x14ac:dyDescent="0.35">
      <c r="A41" s="24"/>
      <c r="B41" s="25"/>
      <c r="C41" s="25"/>
      <c r="D41" s="25"/>
      <c r="E41" s="25"/>
      <c r="F41" s="26"/>
      <c r="H41" s="22">
        <v>7</v>
      </c>
      <c r="I41" s="23">
        <v>6</v>
      </c>
    </row>
    <row r="42" spans="1:9" ht="15" thickBot="1" x14ac:dyDescent="0.35">
      <c r="H42" s="22">
        <v>8</v>
      </c>
      <c r="I42" s="23">
        <v>7</v>
      </c>
    </row>
    <row r="43" spans="1:9" x14ac:dyDescent="0.3">
      <c r="A43" s="27" t="s">
        <v>13</v>
      </c>
      <c r="B43" s="67">
        <v>0.17199999999999999</v>
      </c>
      <c r="C43" s="15"/>
      <c r="D43" s="16"/>
      <c r="H43" s="22">
        <v>9</v>
      </c>
      <c r="I43" s="23">
        <v>8</v>
      </c>
    </row>
    <row r="44" spans="1:9" ht="15" thickBot="1" x14ac:dyDescent="0.35">
      <c r="A44" s="70" t="s">
        <v>26</v>
      </c>
      <c r="B44" s="68">
        <v>0.3</v>
      </c>
      <c r="C44" s="25" t="s">
        <v>27</v>
      </c>
      <c r="D44" s="69">
        <v>0.128</v>
      </c>
      <c r="H44" s="24">
        <v>10</v>
      </c>
      <c r="I44" s="26">
        <v>9</v>
      </c>
    </row>
    <row r="45" spans="1:9" ht="15" thickBot="1" x14ac:dyDescent="0.35">
      <c r="B45" s="2"/>
      <c r="D45" s="7"/>
    </row>
    <row r="46" spans="1:9" x14ac:dyDescent="0.3">
      <c r="A46" s="27" t="s">
        <v>106</v>
      </c>
      <c r="B46" s="71">
        <v>10000</v>
      </c>
    </row>
    <row r="47" spans="1:9" ht="15" thickBot="1" x14ac:dyDescent="0.35">
      <c r="A47" s="70" t="s">
        <v>23</v>
      </c>
      <c r="B47" s="51">
        <v>18000</v>
      </c>
    </row>
    <row r="50" spans="1:1" x14ac:dyDescent="0.3">
      <c r="A50" s="77" t="s">
        <v>97</v>
      </c>
    </row>
    <row r="51" spans="1:1" x14ac:dyDescent="0.3">
      <c r="A51" s="6" t="s">
        <v>96</v>
      </c>
    </row>
  </sheetData>
  <hyperlinks>
    <hyperlink ref="A21" r:id="rId1" xr:uid="{27BE747D-17A3-4C7F-B34E-7EEF2E378D20}"/>
    <hyperlink ref="F25" r:id="rId2" xr:uid="{F3283D30-D7BB-4647-9A5F-5295F5EC8CE3}"/>
    <hyperlink ref="F21" r:id="rId3" xr:uid="{76BD71F0-AD58-464A-99DB-D75EE41A6EED}"/>
    <hyperlink ref="G2" r:id="rId4" xr:uid="{B18AE0A1-C015-4EED-B1F0-08880037E8B7}"/>
    <hyperlink ref="F28" r:id="rId5" xr:uid="{09BDA615-A9DE-481B-A855-DD39C2A72B5A}"/>
    <hyperlink ref="G3" r:id="rId6" xr:uid="{48181BD3-156A-4B24-9202-8C421035C171}"/>
    <hyperlink ref="G4" r:id="rId7" xr:uid="{365E88D3-50A6-41E1-8552-D6B14F39CC64}"/>
    <hyperlink ref="F22" r:id="rId8" xr:uid="{93AD0815-5978-4BE2-B079-B88E098316EF}"/>
    <hyperlink ref="A51" r:id="rId9" xr:uid="{09511CFA-0BCE-4A47-9F9C-8577F8ABDEEB}"/>
    <hyperlink ref="B33" r:id="rId10" xr:uid="{E22BC7C8-66A2-45DE-BD28-5D0A33EF45CF}"/>
    <hyperlink ref="B29" r:id="rId11" xr:uid="{11908CD8-0076-4852-8F23-DBE2E090CB3C}"/>
  </hyperlinks>
  <pageMargins left="0.7" right="0.7" top="0.75" bottom="0.75" header="0.3" footer="0.3"/>
  <pageSetup paperSize="9" orientation="portrait" r:id="rId12"/>
  <headerFooter>
    <oddFooter>&amp;L_x000D_&amp;1#&amp;"Calibri"&amp;10&amp;K008000 Confidential -C2- Internal</oddFooter>
  </headerFooter>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7E57-C752-47CA-9FA3-2AC6F5061571}">
  <dimension ref="A1:K35"/>
  <sheetViews>
    <sheetView showGridLines="0" tabSelected="1" topLeftCell="C1" zoomScale="120" zoomScaleNormal="120" workbookViewId="0">
      <selection activeCell="J9" sqref="J9"/>
    </sheetView>
  </sheetViews>
  <sheetFormatPr baseColWidth="10" defaultRowHeight="14.4" x14ac:dyDescent="0.3"/>
  <cols>
    <col min="1" max="1" width="11.44140625" customWidth="1"/>
    <col min="2" max="2" width="62.109375" customWidth="1"/>
    <col min="3" max="3" width="24.6640625" customWidth="1"/>
    <col min="4" max="4" width="24.5546875" customWidth="1"/>
    <col min="5" max="5" width="7" customWidth="1"/>
    <col min="6" max="6" width="7.44140625" customWidth="1"/>
    <col min="7" max="7" width="51.6640625" customWidth="1"/>
    <col min="8" max="8" width="12.6640625" bestFit="1" customWidth="1"/>
    <col min="9" max="9" width="14.109375" bestFit="1" customWidth="1"/>
    <col min="10" max="10" width="11.6640625" bestFit="1" customWidth="1"/>
    <col min="11" max="11" width="14" customWidth="1"/>
  </cols>
  <sheetData>
    <row r="1" spans="1:11" ht="17.25" customHeight="1" thickBot="1" x14ac:dyDescent="0.35">
      <c r="B1" s="100" t="s">
        <v>114</v>
      </c>
      <c r="C1" s="101"/>
      <c r="G1" s="56"/>
    </row>
    <row r="2" spans="1:11" ht="17.25" customHeight="1" x14ac:dyDescent="0.3">
      <c r="F2" s="56"/>
    </row>
    <row r="3" spans="1:11" ht="15.75" customHeight="1" x14ac:dyDescent="0.35">
      <c r="A3" s="90" t="s">
        <v>99</v>
      </c>
      <c r="H3" s="10" t="s">
        <v>69</v>
      </c>
      <c r="I3" s="10" t="s">
        <v>70</v>
      </c>
    </row>
    <row r="4" spans="1:11" ht="15" customHeight="1" x14ac:dyDescent="0.3">
      <c r="A4" s="110" t="s">
        <v>52</v>
      </c>
      <c r="B4" s="44" t="s">
        <v>14</v>
      </c>
      <c r="C4" s="84" t="s">
        <v>91</v>
      </c>
      <c r="F4" s="97" t="s">
        <v>80</v>
      </c>
      <c r="G4" s="44" t="s">
        <v>67</v>
      </c>
      <c r="H4" s="58" t="str">
        <f>IF(C9&gt;10*Données!B31,Données!B31,IF(H7&lt;&gt;"","",IF(C9="","",IF(C9&gt;=Données!B31*10,Données!B31,IF(C9&lt;=Données!B30*10,Données!B30,'Simulateur impôt 2025'!C9*0.1)))))</f>
        <v/>
      </c>
      <c r="I4" s="58" t="str">
        <f>IF(D9&gt;10*Données!B31,Données!B31,IF(I7&lt;&gt;"","",IF(D9="","",IF(D9&gt;=Données!B31*10,Données!B31,IF(D9&lt;=Données!B30*10,Données!B30,'Simulateur impôt 2025'!D9*0.1)))))</f>
        <v/>
      </c>
      <c r="J4" s="9" t="str">
        <f>IF(H4="","",IF('Simulateur impôt 2025'!H4&lt;=Données!B30,"Plancher de 495€ atteint déclarant 1 !",IF('Simulateur impôt 2025'!H4&gt;=Données!B31,"Plafond de 14 171€ atteint déclarant 1 !","")))</f>
        <v/>
      </c>
      <c r="K4" s="9" t="str">
        <f>IF(I4="","",IF('Simulateur impôt 2025'!I4&lt;=Données!B30,"Plancher de 495€ atteint déclarant 2 !",IF('Simulateur impôt 2025'!I4&gt;=Données!B31,"Plafond de 14 171€ atteint déclarant 2 !","")))</f>
        <v/>
      </c>
    </row>
    <row r="5" spans="1:11" x14ac:dyDescent="0.3">
      <c r="A5" s="110"/>
      <c r="B5" s="44" t="s">
        <v>15</v>
      </c>
      <c r="C5" s="78"/>
      <c r="E5" s="1"/>
      <c r="F5" s="98"/>
      <c r="G5" s="44" t="s">
        <v>76</v>
      </c>
      <c r="H5" s="58" t="str">
        <f>IF(H7&lt;&gt;"","",IF(C10="","",IF(C10&gt;=Données!E31*10,Données!E31,IF(C10&lt;=Données!E30*10,Données!E30,C10*0.1))))</f>
        <v/>
      </c>
      <c r="I5" s="58" t="str">
        <f>IF(I7&lt;&gt;"","",IF(D10="","",IF(D10&gt;=Données!E31*10,Données!E31,IF(D10&lt;=Données!E30*10,Données!E30,D10*0.1))))</f>
        <v/>
      </c>
      <c r="J5" s="9" t="str">
        <f>IF(AND(H5="",I5=""),"",IF(AND(H5="",I5&lt;&gt;""),IF('Simulateur impôt 2025'!I5&gt;=Données!E31,"Plafond de 4 321€ atteint !",IF(AND(I5="",H5&lt;&gt;""),IF('Simulateur impôt 2025'!H5&gt;=Données!E31,"Plafond de 4 321€ atteint !"),"")),IF(AND(I5&lt;&gt;"",H5&lt;&gt;""),IF(I5+H5&gt;=Données!E31,"Plafond de 4 321€ atteint !",""),"")))</f>
        <v/>
      </c>
      <c r="K5" s="9" t="str">
        <f>IF(AND(H5="",I5=""),"",IF(AND(I5&lt;=Données!E30,I5&lt;&gt;""),IF(AND(H5&lt;=Données!E30,H5&lt;&gt;""),"Planchers de 442€ atteints pour déclarants 1 &amp; 2","Plancher de 442€ atteint pour déclarant 2"),IF(AND(H5&lt;=Données!E30,H5&lt;&gt;""),"Plancher de 442€ atteint pour déclarant 1","")))</f>
        <v/>
      </c>
    </row>
    <row r="6" spans="1:11" ht="25.5" customHeight="1" x14ac:dyDescent="0.3">
      <c r="A6" s="110"/>
      <c r="B6" s="53" t="s">
        <v>16</v>
      </c>
      <c r="C6" s="85"/>
      <c r="D6" s="52" t="str">
        <f>IF(C6="","","Simulateur ne prend pas en charge situations particulières")</f>
        <v/>
      </c>
      <c r="E6" s="52"/>
      <c r="F6" s="98"/>
      <c r="G6" s="53" t="s">
        <v>75</v>
      </c>
      <c r="H6" s="87" t="str">
        <f>IF(C11&lt;&gt;"",C11*0.1,"")</f>
        <v/>
      </c>
      <c r="I6" s="87" t="str">
        <f>IF(D11&lt;&gt;"",D11*0.1,"")</f>
        <v/>
      </c>
    </row>
    <row r="7" spans="1:11" ht="16.5" customHeight="1" x14ac:dyDescent="0.3">
      <c r="A7" s="110"/>
      <c r="B7" s="53" t="s">
        <v>102</v>
      </c>
      <c r="C7" s="78">
        <f>IF(C4="Mariés / Pacsés",VLOOKUP(C5,Données!H34:I44,2,0)+2,VLOOKUP(C5,Données!H34:I44,2,0)+1)+IF(AND(C6=Données!F5,C5&gt;0),0.5,0)</f>
        <v>1</v>
      </c>
      <c r="D7" s="52"/>
      <c r="E7" s="52"/>
      <c r="F7" s="98"/>
      <c r="G7" s="44" t="s">
        <v>3</v>
      </c>
      <c r="H7" s="58"/>
      <c r="I7" s="58"/>
    </row>
    <row r="8" spans="1:11" x14ac:dyDescent="0.3">
      <c r="C8" s="10" t="s">
        <v>69</v>
      </c>
      <c r="D8" s="10" t="str">
        <f>IF(C4="Célibataire / Union libre","","Déclarant 2")</f>
        <v/>
      </c>
      <c r="E8" s="1"/>
      <c r="F8" s="99"/>
      <c r="G8" s="44" t="s">
        <v>95</v>
      </c>
      <c r="H8" s="58"/>
      <c r="I8" s="58"/>
    </row>
    <row r="9" spans="1:11" ht="15" customHeight="1" x14ac:dyDescent="0.3">
      <c r="A9" s="102" t="s">
        <v>53</v>
      </c>
      <c r="B9" s="44" t="s">
        <v>37</v>
      </c>
      <c r="C9" s="86"/>
      <c r="D9" s="86"/>
      <c r="E9" s="1"/>
      <c r="G9" s="73" t="s">
        <v>77</v>
      </c>
      <c r="H9" s="91">
        <f>SUM(MIN(SUM(H5,I5),Données!E31),H4,I4,H8:I8)</f>
        <v>0</v>
      </c>
      <c r="I9" s="59"/>
    </row>
    <row r="10" spans="1:11" ht="15" customHeight="1" x14ac:dyDescent="0.3">
      <c r="A10" s="103"/>
      <c r="B10" s="44" t="s">
        <v>73</v>
      </c>
      <c r="C10" s="86"/>
      <c r="D10" s="86"/>
      <c r="E10" s="1"/>
    </row>
    <row r="11" spans="1:11" x14ac:dyDescent="0.3">
      <c r="A11" s="103"/>
      <c r="B11" s="44" t="s">
        <v>74</v>
      </c>
      <c r="C11" s="86"/>
      <c r="D11" s="86"/>
      <c r="E11" s="1"/>
      <c r="G11" s="60" t="s">
        <v>78</v>
      </c>
      <c r="H11" s="59">
        <f>SUM(C9:D11,IF(C13=Données!D17,D13*0.7,IF(C13=Données!D18,D13,0)),C15*0.66,C16*0.13,C17:C18,C20:C21,IF(C19=Données!A25,D19*0.5,IF(C19=Données!A26,D19,0)))-H9</f>
        <v>0</v>
      </c>
    </row>
    <row r="12" spans="1:11" x14ac:dyDescent="0.3">
      <c r="A12" s="103"/>
      <c r="B12" s="44" t="s">
        <v>103</v>
      </c>
      <c r="C12" s="86"/>
      <c r="D12" s="57" t="str">
        <f>IF(C13="","","Notez les RF ci-dessous en D13")</f>
        <v>Notez les RF ci-dessous en D13</v>
      </c>
      <c r="E12" s="42"/>
      <c r="G12" s="64"/>
      <c r="I12" s="54"/>
    </row>
    <row r="13" spans="1:11" ht="15" customHeight="1" x14ac:dyDescent="0.3">
      <c r="A13" s="104"/>
      <c r="B13" s="44" t="s">
        <v>104</v>
      </c>
      <c r="C13" s="86" t="s">
        <v>40</v>
      </c>
      <c r="D13" s="55"/>
      <c r="F13" s="111" t="s">
        <v>79</v>
      </c>
      <c r="G13" s="61" t="s">
        <v>25</v>
      </c>
      <c r="H13" s="79">
        <f>MAX(C31:C32)-IF('Simulateur impôt 2025'!C6=Données!F6,MIN(MAX(C31:C32)-IF(H11/(C7+0.5)&lt;Données!B3,0,IF(H11/(C7+0.5)&lt;Données!B4,(H11/(C7+0.5)-Données!A4)*Données!C4*(C7+0.5),IF(H11/(C7+0.5)&lt;Données!B5,((H11/(C7+0.5)-Données!A5)*Données!C5+(Données!B4-Données!A4)*Données!C4)*(C7+0.5),IF(H11/(C7+0.5)&lt;Données!B6,((H11/(C7+0.5)-Données!A6)*Données!C6+(Données!B5-Données!A5)*Données!C5+(Données!B4-Données!A4)*Données!C4)*(C7+0.5),((H11/(C7+0.5)-Données!A7)*Données!C7+(Données!B6-Données!A6)*Données!C6+(Données!B5-Données!A5)*Données!C5+(Données!B4-Données!A4)*Données!C4)*(C7+0.5))))),1069),0)</f>
        <v>0</v>
      </c>
      <c r="I13" s="92"/>
      <c r="J13" s="3" t="s">
        <v>121</v>
      </c>
      <c r="K13" s="93">
        <f>IF(IF($H$11/C30&gt;Données!B3,Données!B3,Données!A3)&lt;0,0,IF($H$11/C30&gt;Données!B3,Données!B3,$H$11/C30-Données!A3))</f>
        <v>0</v>
      </c>
    </row>
    <row r="14" spans="1:11" ht="15.75" customHeight="1" x14ac:dyDescent="0.3">
      <c r="A14" s="11"/>
      <c r="C14" s="10" t="str">
        <f>IF(C4="Célibataire / Union libre","Déclarant 1","Déclarants 1 &amp; 2")</f>
        <v>Déclarant 1</v>
      </c>
      <c r="D14" s="55"/>
      <c r="E14" s="1"/>
      <c r="F14" s="112"/>
      <c r="G14" s="43" t="s">
        <v>17</v>
      </c>
      <c r="H14" s="80" t="str">
        <f>IF(C32&gt;C31,"Oui","Non")</f>
        <v>Non</v>
      </c>
      <c r="I14" s="9" t="str">
        <f>IF(H14="Oui","Plafond quotient familial atteint !","")</f>
        <v/>
      </c>
      <c r="J14" s="3" t="s">
        <v>122</v>
      </c>
      <c r="K14" s="93">
        <f>IF(IF($H$11/C30&gt;Données!B4,Données!B4,$H$11/C30-Données!A4)&lt;0,0,IF($H$11/C30&gt;Données!B4,Données!B4,$H$11/C30-Données!A4))</f>
        <v>0</v>
      </c>
    </row>
    <row r="15" spans="1:11" ht="15" customHeight="1" x14ac:dyDescent="0.3">
      <c r="A15" s="105" t="s">
        <v>54</v>
      </c>
      <c r="B15" s="44" t="s">
        <v>41</v>
      </c>
      <c r="C15" s="86"/>
      <c r="D15" s="57" t="str">
        <f>IF(C15="","","Abattement forfaitaire de 34%")</f>
        <v/>
      </c>
      <c r="E15" s="48"/>
      <c r="F15" s="113"/>
      <c r="G15" s="43" t="s">
        <v>28</v>
      </c>
      <c r="H15" s="81">
        <f>IF(H14="Oui",IF(H11/C30&lt;Données!B3,Données!C3,IF(H11/C30&lt;Données!B4,Données!C4,IF(H11/C30&lt;Données!B5,Données!C5,IF(H11/C30&lt;Données!B6,Données!C6,Données!C7)))),IF(H11/C7&lt;Données!B3,Données!C3,IF(H11/C7&lt;Données!B4,Données!C4,IF(H11/C7&lt;Données!B5,Données!C5,IF(H11/C7&lt;Données!B6,Données!C6,Données!C7)))))</f>
        <v>0</v>
      </c>
      <c r="J15" s="3" t="s">
        <v>123</v>
      </c>
      <c r="K15" s="93">
        <f>IF(IF($H$11/C30&gt;Données!B5,Données!B5,$H$11/C30-Données!A5)&lt;0,0,IF($H$11/C30&gt;Données!B5,Données!B5,$H$11/C30-Données!A5))</f>
        <v>0</v>
      </c>
    </row>
    <row r="16" spans="1:11" x14ac:dyDescent="0.3">
      <c r="A16" s="106"/>
      <c r="B16" s="44" t="s">
        <v>42</v>
      </c>
      <c r="C16" s="86"/>
      <c r="D16" s="57" t="str">
        <f>IF(C16="","","Abattement forfaitaire de 87%")</f>
        <v/>
      </c>
      <c r="E16" s="46"/>
      <c r="J16" s="3" t="s">
        <v>124</v>
      </c>
      <c r="K16" s="93">
        <f>IF(IF($H$11/C30&gt;Données!B6,Données!B6,$H$11/C30-Données!A6)&lt;0,0,IF($H$11/C30&gt;Données!B6,Données!B6,$H$11/C30-Données!A6))</f>
        <v>0</v>
      </c>
    </row>
    <row r="17" spans="1:11" x14ac:dyDescent="0.3">
      <c r="A17" s="106"/>
      <c r="B17" s="44" t="s">
        <v>43</v>
      </c>
      <c r="C17" s="86"/>
      <c r="D17" s="55"/>
      <c r="E17" s="1"/>
      <c r="F17" s="66" t="s">
        <v>85</v>
      </c>
      <c r="G17" s="83">
        <f>IF(AND(OR(C4=Données!A10,C4=Données!A13,C4=Données!A14),H13&lt;=Données!B35),H30,IF(AND(OR(C4=Données!A11,C4=Données!A12),H13&lt;=Données!B36),H31,0))</f>
        <v>889</v>
      </c>
      <c r="H17" s="9"/>
      <c r="J17" s="3" t="s">
        <v>125</v>
      </c>
      <c r="K17" s="93">
        <f>IF((H11/C30-Données!A7)&lt;0,0,H11/C30-Données!A7)</f>
        <v>0</v>
      </c>
    </row>
    <row r="18" spans="1:11" ht="16.5" customHeight="1" x14ac:dyDescent="0.3">
      <c r="A18" s="106"/>
      <c r="B18" s="44" t="s">
        <v>44</v>
      </c>
      <c r="C18" s="86"/>
      <c r="D18" s="57" t="str">
        <f>IF(C19="","","Notez les BIC ci-dessous en D19")</f>
        <v>Notez les BIC ci-dessous en D19</v>
      </c>
      <c r="E18" s="48"/>
      <c r="I18" t="s">
        <v>126</v>
      </c>
      <c r="J18" t="s">
        <v>127</v>
      </c>
    </row>
    <row r="19" spans="1:11" ht="15" customHeight="1" x14ac:dyDescent="0.3">
      <c r="A19" s="106"/>
      <c r="B19" s="44" t="s">
        <v>94</v>
      </c>
      <c r="C19" s="86" t="s">
        <v>56</v>
      </c>
      <c r="D19" s="55"/>
      <c r="E19" s="1"/>
      <c r="F19" s="111" t="s">
        <v>82</v>
      </c>
      <c r="G19" s="3" t="s">
        <v>30</v>
      </c>
      <c r="H19" s="58">
        <f>0.225*I19+J19</f>
        <v>0</v>
      </c>
      <c r="I19" s="94">
        <v>0</v>
      </c>
      <c r="J19" s="94">
        <v>0</v>
      </c>
    </row>
    <row r="20" spans="1:11" x14ac:dyDescent="0.3">
      <c r="A20" s="106"/>
      <c r="B20" s="44" t="s">
        <v>45</v>
      </c>
      <c r="C20" s="86"/>
      <c r="D20" s="55"/>
      <c r="E20" s="1"/>
      <c r="F20" s="113"/>
      <c r="G20" s="3" t="s">
        <v>81</v>
      </c>
      <c r="H20" s="58"/>
    </row>
    <row r="21" spans="1:11" x14ac:dyDescent="0.3">
      <c r="A21" s="107"/>
      <c r="B21" s="44" t="s">
        <v>46</v>
      </c>
      <c r="C21" s="86"/>
      <c r="D21" s="55"/>
      <c r="E21" s="1"/>
      <c r="G21" s="62" t="s">
        <v>83</v>
      </c>
      <c r="H21" s="74">
        <f>SUM(H19:H20)</f>
        <v>0</v>
      </c>
    </row>
    <row r="22" spans="1:11" x14ac:dyDescent="0.3">
      <c r="D22" s="8"/>
      <c r="E22" s="8"/>
    </row>
    <row r="23" spans="1:11" ht="15.6" x14ac:dyDescent="0.3">
      <c r="D23" s="8"/>
      <c r="E23" s="8"/>
      <c r="F23" s="108" t="s">
        <v>31</v>
      </c>
      <c r="G23" s="109"/>
      <c r="H23" s="82">
        <f>IF((H13-G17-H19)&lt;0,0-H20,H13-G17-H21)</f>
        <v>0</v>
      </c>
    </row>
    <row r="24" spans="1:11" x14ac:dyDescent="0.3">
      <c r="A24" s="36" t="s">
        <v>62</v>
      </c>
      <c r="F24" s="95" t="s">
        <v>84</v>
      </c>
      <c r="G24" s="96"/>
      <c r="H24" s="88">
        <f>C12*Données!D44</f>
        <v>0</v>
      </c>
    </row>
    <row r="25" spans="1:11" ht="15" customHeight="1" x14ac:dyDescent="0.3">
      <c r="A25" s="36" t="s">
        <v>61</v>
      </c>
      <c r="F25" s="95" t="s">
        <v>13</v>
      </c>
      <c r="G25" s="96"/>
      <c r="H25" s="88">
        <f>(C12+IF(C13="Régime micro-foncier",D13*0.7,D13)+IF(C19="Régime micro-BIC",D19*0.5,D19))*0.172</f>
        <v>0</v>
      </c>
    </row>
    <row r="26" spans="1:11" ht="21" x14ac:dyDescent="0.4">
      <c r="D26" s="13"/>
      <c r="E26" s="13"/>
      <c r="G26" s="63" t="s">
        <v>24</v>
      </c>
      <c r="H26" s="65">
        <f>SUM(H23:H25)</f>
        <v>0</v>
      </c>
    </row>
    <row r="28" spans="1:11" x14ac:dyDescent="0.3">
      <c r="D28" s="14"/>
      <c r="E28" s="14"/>
    </row>
    <row r="29" spans="1:11" x14ac:dyDescent="0.3">
      <c r="D29" s="14"/>
      <c r="E29" s="14"/>
    </row>
    <row r="30" spans="1:11" x14ac:dyDescent="0.3">
      <c r="A30" s="13" t="s">
        <v>22</v>
      </c>
      <c r="B30" s="13" t="s">
        <v>29</v>
      </c>
      <c r="C30" s="13">
        <f>IF(C4="Mariés / Pacsés",2,1)</f>
        <v>1</v>
      </c>
      <c r="E30" s="13" t="s">
        <v>22</v>
      </c>
      <c r="G30" s="13" t="s">
        <v>86</v>
      </c>
      <c r="H30" s="45">
        <f>Données!B39-('Simulateur impôt 2025'!H13*0.4525)</f>
        <v>889</v>
      </c>
    </row>
    <row r="31" spans="1:11" x14ac:dyDescent="0.3">
      <c r="A31" s="13" t="s">
        <v>22</v>
      </c>
      <c r="B31" s="13" t="s">
        <v>18</v>
      </c>
      <c r="C31" s="14">
        <f>IF(H11/C7&lt;Données!B3,0,IF(H11/C7&lt;Données!B4,(H11/C7-Données!A4)*Données!C4*'Simulateur impôt 2025'!C7,IF(H11/C7&lt;Données!B5,((H11/C7-Données!A5)*Données!C5+(Données!B4-Données!A4)*Données!C4)*'Simulateur impôt 2025'!C7,IF(H11/C7&lt;Données!B6,((H11/C7-Données!A6)*Données!C6+(Données!B5-Données!A5)*Données!C5+(Données!B4-Données!A4)*Données!C4)*'Simulateur impôt 2025'!C7,((H11/C7-Données!A7)*Données!C7+(Données!B6-Données!A6)*Données!C6+(Données!B5-Données!A5)*Données!C5+(Données!B4-Données!A4)*Données!C4)*'Simulateur impôt 2025'!C7))))</f>
        <v>0</v>
      </c>
      <c r="E31" s="13" t="s">
        <v>22</v>
      </c>
      <c r="G31" s="13" t="s">
        <v>87</v>
      </c>
      <c r="H31" s="45">
        <f>Données!B40-('Simulateur impôt 2025'!H13*0.4525)</f>
        <v>1470</v>
      </c>
    </row>
    <row r="32" spans="1:11" x14ac:dyDescent="0.3">
      <c r="A32" s="13" t="s">
        <v>22</v>
      </c>
      <c r="B32" s="13" t="s">
        <v>19</v>
      </c>
      <c r="C32" s="14">
        <f>IF(H11/C30&lt;Données!B3,0,IF(H11/C30&lt;Données!B4,(H11/C30-Données!A4)*Données!C4*'Simulateur impôt 2025'!C30,IF(H11/C30&lt;Données!B5,((H11/C30-Données!A5)*Données!C5+(Données!B4-Données!A4)*Données!C4)*'Simulateur impôt 2025'!C30,IF(H11/C30&lt;Données!B6,((H11/C30-Données!A6)*Données!C6+(Données!B5-Données!A5)*Données!C5+(Données!B4-Données!A4)*Données!C4)*'Simulateur impôt 2025'!C30,((H11/C30-Données!A7)*Données!C7+(Données!B6-Données!A6)*Données!C6+(Données!B5-Données!A5)*Données!C5+(Données!B4-Données!A4)*Données!C4)*'Simulateur impôt 2025'!C30))))-(C7-C30)*Données!B18</f>
        <v>0</v>
      </c>
    </row>
    <row r="35" spans="10:10" x14ac:dyDescent="0.3">
      <c r="J35" s="12"/>
    </row>
  </sheetData>
  <mergeCells count="10">
    <mergeCell ref="F25:G25"/>
    <mergeCell ref="F4:F8"/>
    <mergeCell ref="B1:C1"/>
    <mergeCell ref="A9:A13"/>
    <mergeCell ref="A15:A21"/>
    <mergeCell ref="F23:G23"/>
    <mergeCell ref="A4:A7"/>
    <mergeCell ref="F13:F15"/>
    <mergeCell ref="F19:F20"/>
    <mergeCell ref="F24:G24"/>
  </mergeCells>
  <pageMargins left="0.7" right="0.7" top="0.75" bottom="0.75" header="0.3" footer="0.3"/>
  <pageSetup paperSize="9" orientation="portrait" r:id="rId1"/>
  <headerFooter>
    <oddFooter>&amp;L_x000D_&amp;1#&amp;"Calibri"&amp;10&amp;K008000 Confidential -C2- Internal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61FF6B5B-76F5-47A6-B377-712765BBC03B}">
          <x14:formula1>
            <xm:f>Données!$A$10:$A$14</xm:f>
          </x14:formula1>
          <xm:sqref>E4</xm:sqref>
        </x14:dataValidation>
        <x14:dataValidation type="list" allowBlank="1" showInputMessage="1" showErrorMessage="1" xr:uid="{18A2CC8B-CD07-4CAE-8009-C0C04365FFF8}">
          <x14:formula1>
            <xm:f>Données!$D$16:$D$18</xm:f>
          </x14:formula1>
          <xm:sqref>C13</xm:sqref>
        </x14:dataValidation>
        <x14:dataValidation type="list" allowBlank="1" showInputMessage="1" showErrorMessage="1" xr:uid="{D20A5B4F-542E-4A96-A29D-1A590A836E47}">
          <x14:formula1>
            <xm:f>Données!$A$24:$A$26</xm:f>
          </x14:formula1>
          <xm:sqref>C19</xm:sqref>
        </x14:dataValidation>
        <x14:dataValidation type="list" allowBlank="1" showInputMessage="1" showErrorMessage="1" xr:uid="{0E4DADEB-551B-41FB-82D6-DA81ED7E220F}">
          <x14:formula1>
            <xm:f>Données!$F$3:$F$9</xm:f>
          </x14:formula1>
          <xm:sqref>C6</xm:sqref>
        </x14:dataValidation>
        <x14:dataValidation type="list" allowBlank="1" showInputMessage="1" showErrorMessage="1" xr:uid="{1F115FED-6976-467D-B3FE-A736153EA404}">
          <x14:formula1>
            <xm:f>Données!$A$10:$A$11</xm:f>
          </x14:formula1>
          <xm:sqref>C4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990DD-4ED4-443D-AE04-FFC84E8221C6}">
  <dimension ref="A1:M50"/>
  <sheetViews>
    <sheetView showGridLines="0" zoomScale="90" zoomScaleNormal="90" workbookViewId="0">
      <selection activeCell="B7" sqref="B7"/>
    </sheetView>
  </sheetViews>
  <sheetFormatPr baseColWidth="10" defaultRowHeight="14.4" x14ac:dyDescent="0.3"/>
  <cols>
    <col min="1" max="1" width="38.6640625" customWidth="1"/>
    <col min="2" max="2" width="26.21875" customWidth="1"/>
    <col min="3" max="3" width="7" customWidth="1"/>
    <col min="4" max="4" width="7.44140625" customWidth="1"/>
    <col min="5" max="5" width="51.6640625" customWidth="1"/>
    <col min="6" max="6" width="12.6640625" bestFit="1" customWidth="1"/>
    <col min="7" max="7" width="11.5546875" bestFit="1" customWidth="1"/>
    <col min="8" max="8" width="9.88671875" customWidth="1"/>
    <col min="9" max="9" width="51.109375" customWidth="1"/>
    <col min="10" max="10" width="9.88671875" customWidth="1"/>
    <col min="11" max="11" width="7.109375" customWidth="1"/>
    <col min="12" max="12" width="8.5546875" customWidth="1"/>
    <col min="13" max="13" width="9.6640625" customWidth="1"/>
    <col min="14" max="14" width="10" customWidth="1"/>
    <col min="15" max="16" width="11.44140625" customWidth="1"/>
  </cols>
  <sheetData>
    <row r="1" spans="1:11" ht="17.25" customHeight="1" thickBot="1" x14ac:dyDescent="0.35">
      <c r="A1" s="100" t="s">
        <v>114</v>
      </c>
      <c r="B1" s="101"/>
      <c r="E1" s="56"/>
    </row>
    <row r="2" spans="1:11" ht="17.25" customHeight="1" x14ac:dyDescent="0.3">
      <c r="D2" s="56"/>
    </row>
    <row r="3" spans="1:11" ht="17.25" customHeight="1" thickBot="1" x14ac:dyDescent="0.35">
      <c r="A3" s="56" t="s">
        <v>98</v>
      </c>
      <c r="D3" s="56"/>
    </row>
    <row r="4" spans="1:11" ht="15" customHeight="1" x14ac:dyDescent="0.3">
      <c r="A4" s="44" t="s">
        <v>14</v>
      </c>
      <c r="B4" s="78" t="s">
        <v>92</v>
      </c>
      <c r="D4" s="111" t="s">
        <v>79</v>
      </c>
      <c r="E4" s="61" t="s">
        <v>25</v>
      </c>
      <c r="F4" s="79">
        <f>MAX(B17:B18)</f>
        <v>2046</v>
      </c>
      <c r="I4" s="34" t="s">
        <v>115</v>
      </c>
      <c r="J4" s="15"/>
      <c r="K4" s="16"/>
    </row>
    <row r="5" spans="1:11" x14ac:dyDescent="0.3">
      <c r="A5" s="44" t="s">
        <v>15</v>
      </c>
      <c r="B5" s="78">
        <v>2</v>
      </c>
      <c r="C5" s="1"/>
      <c r="D5" s="112"/>
      <c r="E5" s="43" t="s">
        <v>17</v>
      </c>
      <c r="F5" s="80" t="str">
        <f>IF(B18&gt;B17,"Oui","Non")</f>
        <v>Non</v>
      </c>
      <c r="G5" s="9" t="str">
        <f>IF(F5="Oui","Plafond quotient familial atteint !","")</f>
        <v/>
      </c>
      <c r="I5" s="17">
        <f>Données!A3</f>
        <v>0</v>
      </c>
      <c r="J5" s="4">
        <f>Données!B3</f>
        <v>11600</v>
      </c>
      <c r="K5" s="18">
        <v>0</v>
      </c>
    </row>
    <row r="6" spans="1:11" ht="16.5" customHeight="1" x14ac:dyDescent="0.3">
      <c r="A6" s="53" t="s">
        <v>93</v>
      </c>
      <c r="B6" s="78">
        <f>IF(B4="Mariés / Pacsés",VLOOKUP(B5,I40:J50,2,0)+2,VLOOKUP(B5,I40:J50,2,0)+1)</f>
        <v>3</v>
      </c>
      <c r="C6" s="52"/>
      <c r="D6" s="113"/>
      <c r="E6" s="43" t="s">
        <v>28</v>
      </c>
      <c r="F6" s="81">
        <f>IF(F5="Oui",IF(B7/B16&lt;'Simulateur impôt simplifié 2025'!J5,'Simulateur impôt simplifié 2025'!K5,IF(B7/B16&lt;'Simulateur impôt simplifié 2025'!J6,'Simulateur impôt simplifié 2025'!K6,IF(B7/B16&lt;'Simulateur impôt simplifié 2025'!J7,'Simulateur impôt simplifié 2025'!K7,IF(B7/B16&lt;'Simulateur impôt simplifié 2025'!J8,'Simulateur impôt simplifié 2025'!K8,'Simulateur impôt simplifié 2025'!K9)))),IF(B7/B6&lt;'Simulateur impôt simplifié 2025'!J5,'Simulateur impôt simplifié 2025'!K5,IF(B7/B6&lt;'Simulateur impôt simplifié 2025'!J6,'Simulateur impôt simplifié 2025'!K6,IF(B7/B6&lt;'Simulateur impôt simplifié 2025'!J7,'Simulateur impôt simplifié 2025'!K7,IF(B7/B6&lt;'Simulateur impôt simplifié 2025'!J8,'Simulateur impôt simplifié 2025'!K8,'Simulateur impôt simplifié 2025'!K9)))))</f>
        <v>0.11</v>
      </c>
      <c r="I6" s="17">
        <f>Données!A4</f>
        <v>11600</v>
      </c>
      <c r="J6" s="4">
        <f>Données!B4</f>
        <v>29579</v>
      </c>
      <c r="K6" s="18">
        <v>0.11</v>
      </c>
    </row>
    <row r="7" spans="1:11" x14ac:dyDescent="0.3">
      <c r="A7" s="53" t="s">
        <v>101</v>
      </c>
      <c r="B7" s="78">
        <v>53400</v>
      </c>
      <c r="C7" s="1"/>
      <c r="I7" s="17">
        <f>Données!A5</f>
        <v>29579</v>
      </c>
      <c r="J7" s="4">
        <f>Données!B5</f>
        <v>54577</v>
      </c>
      <c r="K7" s="18">
        <v>0.3</v>
      </c>
    </row>
    <row r="8" spans="1:11" ht="15" customHeight="1" x14ac:dyDescent="0.3">
      <c r="D8" s="75" t="s">
        <v>85</v>
      </c>
      <c r="E8" s="83">
        <f>IF(AND(OR(B4='Simulateur impôt simplifié 2025'!I13,B4='Simulateur impôt simplifié 2025'!I16,B4='Simulateur impôt simplifié 2025'!I17),F4&lt;='Simulateur impôt simplifié 2025'!J31),F16,IF(AND(OR(B4='Simulateur impôt simplifié 2025'!I14,B4='Simulateur impôt simplifié 2025'!I15),F4&lt;='Simulateur impôt simplifié 2025'!J32),F17,0))</f>
        <v>544.18499999999995</v>
      </c>
      <c r="F8" s="9"/>
      <c r="I8" s="17">
        <f>Données!A6</f>
        <v>54577</v>
      </c>
      <c r="J8" s="4">
        <f>Données!B6</f>
        <v>181917</v>
      </c>
      <c r="K8" s="18">
        <v>0.41</v>
      </c>
    </row>
    <row r="9" spans="1:11" ht="15.75" customHeight="1" thickBot="1" x14ac:dyDescent="0.35">
      <c r="B9" s="55"/>
      <c r="C9" s="1"/>
      <c r="I9" s="19">
        <f>Données!A7</f>
        <v>181917</v>
      </c>
      <c r="J9" s="20"/>
      <c r="K9" s="21">
        <v>0.45</v>
      </c>
    </row>
    <row r="10" spans="1:11" ht="15" customHeight="1" x14ac:dyDescent="0.3">
      <c r="C10" s="48"/>
      <c r="D10" s="111" t="s">
        <v>82</v>
      </c>
      <c r="E10" s="3" t="s">
        <v>30</v>
      </c>
      <c r="F10" s="58"/>
    </row>
    <row r="11" spans="1:11" ht="15" thickBot="1" x14ac:dyDescent="0.35">
      <c r="C11" s="46"/>
      <c r="D11" s="113"/>
      <c r="E11" s="3" t="s">
        <v>81</v>
      </c>
      <c r="F11" s="58"/>
    </row>
    <row r="12" spans="1:11" x14ac:dyDescent="0.3">
      <c r="C12" s="1"/>
      <c r="E12" s="62" t="s">
        <v>83</v>
      </c>
      <c r="F12" s="74">
        <f>SUM(F10:F11)</f>
        <v>0</v>
      </c>
      <c r="I12" s="35" t="s">
        <v>0</v>
      </c>
    </row>
    <row r="13" spans="1:11" ht="16.5" customHeight="1" x14ac:dyDescent="0.3">
      <c r="C13" s="48"/>
      <c r="I13" s="28" t="s">
        <v>91</v>
      </c>
    </row>
    <row r="14" spans="1:11" ht="15" customHeight="1" x14ac:dyDescent="0.3">
      <c r="C14" s="1"/>
      <c r="D14" s="108" t="s">
        <v>31</v>
      </c>
      <c r="E14" s="109"/>
      <c r="F14" s="82">
        <f>IF((F4-E8-F10)&lt;0,0-F11,F4-E8-F12)</f>
        <v>1501.8150000000001</v>
      </c>
      <c r="I14" s="28" t="s">
        <v>92</v>
      </c>
    </row>
    <row r="15" spans="1:11" ht="14.25" customHeight="1" x14ac:dyDescent="0.3">
      <c r="C15" s="8"/>
      <c r="E15" s="89"/>
      <c r="I15" s="28"/>
    </row>
    <row r="16" spans="1:11" x14ac:dyDescent="0.3">
      <c r="A16" s="13" t="s">
        <v>29</v>
      </c>
      <c r="B16" s="13">
        <f>IF(B4="Mariés / Pacsés",2,1)</f>
        <v>2</v>
      </c>
      <c r="C16" s="13"/>
      <c r="E16" s="13" t="s">
        <v>86</v>
      </c>
      <c r="F16" s="45">
        <f>'Simulateur impôt simplifié 2025'!J35-('Simulateur impôt simplifié 2025'!F4*0.4525)</f>
        <v>-36.815000000000055</v>
      </c>
      <c r="I16" s="28"/>
    </row>
    <row r="17" spans="1:13" ht="15" thickBot="1" x14ac:dyDescent="0.35">
      <c r="A17" s="13" t="s">
        <v>18</v>
      </c>
      <c r="B17" s="14">
        <f>IF(B7/B6&lt;'Simulateur impôt simplifié 2025'!J5,0,IF(B7/B6&lt;'Simulateur impôt simplifié 2025'!J6,(B7/B6-'Simulateur impôt simplifié 2025'!I6)*'Simulateur impôt simplifié 2025'!K6*'Simulateur impôt simplifié 2025'!B6,IF(B7/B6&lt;'Simulateur impôt simplifié 2025'!J7,((B7/B6-'Simulateur impôt simplifié 2025'!I7)*'Simulateur impôt simplifié 2025'!K7+('Simulateur impôt simplifié 2025'!J6-'Simulateur impôt simplifié 2025'!I6)*'Simulateur impôt simplifié 2025'!K6)*'Simulateur impôt simplifié 2025'!B6,IF(B7/B6&lt;'Simulateur impôt simplifié 2025'!J8,((B7/B6-'Simulateur impôt simplifié 2025'!I8)*'Simulateur impôt simplifié 2025'!K8+('Simulateur impôt simplifié 2025'!J7-'Simulateur impôt simplifié 2025'!I7)*'Simulateur impôt simplifié 2025'!K7+('Simulateur impôt simplifié 2025'!J6-'Simulateur impôt simplifié 2025'!I6)*'Simulateur impôt simplifié 2025'!K6)*'Simulateur impôt simplifié 2025'!B6,((B7/B6-'Simulateur impôt simplifié 2025'!I9)*'Simulateur impôt simplifié 2025'!K9+('Simulateur impôt simplifié 2025'!J8-'Simulateur impôt simplifié 2025'!I8)*'Simulateur impôt simplifié 2025'!K8+('Simulateur impôt simplifié 2025'!J7-'Simulateur impôt simplifié 2025'!I7)*'Simulateur impôt simplifié 2025'!K7+('Simulateur impôt simplifié 2025'!J6-'Simulateur impôt simplifié 2025'!I6)*'Simulateur impôt simplifié 2025'!K6)*'Simulateur impôt simplifié 2025'!B6))))</f>
        <v>2046</v>
      </c>
      <c r="C17" s="13"/>
      <c r="E17" s="13" t="s">
        <v>87</v>
      </c>
      <c r="F17" s="45">
        <f>'Simulateur impôt simplifié 2025'!J36-('Simulateur impôt simplifié 2025'!F4*0.4525)</f>
        <v>544.18499999999995</v>
      </c>
      <c r="I17" s="29"/>
    </row>
    <row r="18" spans="1:13" x14ac:dyDescent="0.3">
      <c r="A18" s="13" t="s">
        <v>19</v>
      </c>
      <c r="B18" s="14">
        <f>IF(B7/B16&lt;'Simulateur impôt simplifié 2025'!J5,0,IF(B7/B16&lt;'Simulateur impôt simplifié 2025'!J6,(B7/B16-'Simulateur impôt simplifié 2025'!I6)*'Simulateur impôt simplifié 2025'!K6*'Simulateur impôt simplifié 2025'!B16,IF(B7/B16&lt;'Simulateur impôt simplifié 2025'!J7,((B7/B16-'Simulateur impôt simplifié 2025'!I7)*'Simulateur impôt simplifié 2025'!K7+('Simulateur impôt simplifié 2025'!J6-'Simulateur impôt simplifié 2025'!I6)*'Simulateur impôt simplifié 2025'!K6)*'Simulateur impôt simplifié 2025'!B16,IF(B7/B16&lt;'Simulateur impôt simplifié 2025'!J8,((B7/B16-'Simulateur impôt simplifié 2025'!I8)*'Simulateur impôt simplifié 2025'!K8+('Simulateur impôt simplifié 2025'!J7-'Simulateur impôt simplifié 2025'!I7)*'Simulateur impôt simplifié 2025'!K7+('Simulateur impôt simplifié 2025'!J6-'Simulateur impôt simplifié 2025'!I6)*'Simulateur impôt simplifié 2025'!K6)*'Simulateur impôt simplifié 2025'!B16,((B7/B16-'Simulateur impôt simplifié 2025'!I9)*'Simulateur impôt simplifié 2025'!K9+('Simulateur impôt simplifié 2025'!J8-'Simulateur impôt simplifié 2025'!I8)*'Simulateur impôt simplifié 2025'!K8+('Simulateur impôt simplifié 2025'!J7-'Simulateur impôt simplifié 2025'!I7)*'Simulateur impôt simplifié 2025'!K7+('Simulateur impôt simplifié 2025'!J6-'Simulateur impôt simplifié 2025'!I6)*'Simulateur impôt simplifié 2025'!K6)*'Simulateur impôt simplifié 2025'!B16))))-(B6-B16)*'Simulateur impôt simplifié 2025'!J22</f>
        <v>-292</v>
      </c>
    </row>
    <row r="19" spans="1:13" ht="15" thickBot="1" x14ac:dyDescent="0.35"/>
    <row r="20" spans="1:13" x14ac:dyDescent="0.3">
      <c r="I20" s="27" t="s">
        <v>116</v>
      </c>
      <c r="J20" s="30"/>
    </row>
    <row r="21" spans="1:13" x14ac:dyDescent="0.3">
      <c r="I21" s="22" t="s">
        <v>21</v>
      </c>
      <c r="J21" s="31">
        <f>Données!B17</f>
        <v>1807</v>
      </c>
    </row>
    <row r="22" spans="1:13" ht="15" thickBot="1" x14ac:dyDescent="0.35">
      <c r="H22" s="12"/>
      <c r="I22" s="24" t="s">
        <v>36</v>
      </c>
      <c r="J22" s="32">
        <f>Données!B18</f>
        <v>3614</v>
      </c>
    </row>
    <row r="24" spans="1:13" ht="15" thickBot="1" x14ac:dyDescent="0.35"/>
    <row r="25" spans="1:13" x14ac:dyDescent="0.3">
      <c r="I25" s="27" t="s">
        <v>68</v>
      </c>
      <c r="J25" s="47" t="s">
        <v>112</v>
      </c>
      <c r="K25" s="15"/>
      <c r="L25" s="15"/>
      <c r="M25" s="16" t="s">
        <v>66</v>
      </c>
    </row>
    <row r="26" spans="1:13" x14ac:dyDescent="0.3">
      <c r="I26" s="22" t="s">
        <v>72</v>
      </c>
      <c r="J26" s="1">
        <f>Données!B30</f>
        <v>504</v>
      </c>
      <c r="L26" t="s">
        <v>10</v>
      </c>
      <c r="M26" s="49">
        <f>Données!E30</f>
        <v>450</v>
      </c>
    </row>
    <row r="27" spans="1:13" ht="15" thickBot="1" x14ac:dyDescent="0.35">
      <c r="I27" s="24" t="s">
        <v>71</v>
      </c>
      <c r="J27" s="50">
        <f>Données!B31</f>
        <v>14426</v>
      </c>
      <c r="K27" s="25"/>
      <c r="L27" s="25" t="s">
        <v>9</v>
      </c>
      <c r="M27" s="51">
        <f>Données!E31</f>
        <v>4399</v>
      </c>
    </row>
    <row r="28" spans="1:13" ht="15" thickBot="1" x14ac:dyDescent="0.35"/>
    <row r="29" spans="1:13" x14ac:dyDescent="0.3">
      <c r="I29" s="27" t="s">
        <v>4</v>
      </c>
      <c r="J29" s="47"/>
      <c r="K29" s="15"/>
      <c r="L29" s="15"/>
      <c r="M29" s="16"/>
    </row>
    <row r="30" spans="1:13" x14ac:dyDescent="0.3">
      <c r="I30" s="22" t="s">
        <v>5</v>
      </c>
      <c r="M30" s="23"/>
    </row>
    <row r="31" spans="1:13" x14ac:dyDescent="0.3">
      <c r="I31" s="22" t="s">
        <v>1</v>
      </c>
      <c r="J31" s="1">
        <f>Données!B35</f>
        <v>1965</v>
      </c>
      <c r="M31" s="23"/>
    </row>
    <row r="32" spans="1:13" x14ac:dyDescent="0.3">
      <c r="I32" s="22" t="s">
        <v>6</v>
      </c>
      <c r="J32" s="1">
        <f>Données!B36</f>
        <v>3249</v>
      </c>
      <c r="M32" s="23"/>
    </row>
    <row r="33" spans="9:13" x14ac:dyDescent="0.3">
      <c r="I33" s="22" t="s">
        <v>7</v>
      </c>
      <c r="M33" s="23"/>
    </row>
    <row r="34" spans="9:13" x14ac:dyDescent="0.3">
      <c r="I34" s="22" t="s">
        <v>8</v>
      </c>
      <c r="M34" s="23"/>
    </row>
    <row r="35" spans="9:13" x14ac:dyDescent="0.3">
      <c r="I35" s="22" t="s">
        <v>1</v>
      </c>
      <c r="J35" s="1">
        <f>Données!B39</f>
        <v>889</v>
      </c>
      <c r="M35" s="23"/>
    </row>
    <row r="36" spans="9:13" x14ac:dyDescent="0.3">
      <c r="I36" s="22" t="s">
        <v>6</v>
      </c>
      <c r="J36" s="1">
        <f>Données!B40</f>
        <v>1470</v>
      </c>
      <c r="M36" s="23"/>
    </row>
    <row r="37" spans="9:13" ht="15" thickBot="1" x14ac:dyDescent="0.35">
      <c r="I37" s="24"/>
      <c r="J37" s="25"/>
      <c r="K37" s="25"/>
      <c r="L37" s="25"/>
      <c r="M37" s="26"/>
    </row>
    <row r="38" spans="9:13" ht="15" thickBot="1" x14ac:dyDescent="0.35"/>
    <row r="39" spans="9:13" x14ac:dyDescent="0.3">
      <c r="I39" s="76" t="s">
        <v>89</v>
      </c>
      <c r="J39" s="30" t="s">
        <v>90</v>
      </c>
    </row>
    <row r="40" spans="9:13" x14ac:dyDescent="0.3">
      <c r="I40" s="22">
        <v>0</v>
      </c>
      <c r="J40" s="23">
        <v>0</v>
      </c>
    </row>
    <row r="41" spans="9:13" x14ac:dyDescent="0.3">
      <c r="I41" s="22">
        <v>1</v>
      </c>
      <c r="J41" s="23">
        <v>0.5</v>
      </c>
    </row>
    <row r="42" spans="9:13" x14ac:dyDescent="0.3">
      <c r="I42" s="22">
        <v>2</v>
      </c>
      <c r="J42" s="23">
        <v>1</v>
      </c>
    </row>
    <row r="43" spans="9:13" x14ac:dyDescent="0.3">
      <c r="I43" s="22">
        <v>3</v>
      </c>
      <c r="J43" s="23">
        <v>2</v>
      </c>
    </row>
    <row r="44" spans="9:13" x14ac:dyDescent="0.3">
      <c r="I44" s="22">
        <v>4</v>
      </c>
      <c r="J44" s="23">
        <v>3</v>
      </c>
    </row>
    <row r="45" spans="9:13" x14ac:dyDescent="0.3">
      <c r="I45" s="22">
        <v>5</v>
      </c>
      <c r="J45" s="23">
        <v>4</v>
      </c>
    </row>
    <row r="46" spans="9:13" x14ac:dyDescent="0.3">
      <c r="I46" s="22">
        <v>6</v>
      </c>
      <c r="J46" s="23">
        <v>5</v>
      </c>
    </row>
    <row r="47" spans="9:13" x14ac:dyDescent="0.3">
      <c r="I47" s="22">
        <v>7</v>
      </c>
      <c r="J47" s="23">
        <v>6</v>
      </c>
    </row>
    <row r="48" spans="9:13" x14ac:dyDescent="0.3">
      <c r="I48" s="22">
        <v>8</v>
      </c>
      <c r="J48" s="23">
        <v>7</v>
      </c>
    </row>
    <row r="49" spans="9:10" x14ac:dyDescent="0.3">
      <c r="I49" s="22">
        <v>9</v>
      </c>
      <c r="J49" s="23">
        <v>8</v>
      </c>
    </row>
    <row r="50" spans="9:10" ht="15" thickBot="1" x14ac:dyDescent="0.35">
      <c r="I50" s="24">
        <v>10</v>
      </c>
      <c r="J50" s="26">
        <v>9</v>
      </c>
    </row>
  </sheetData>
  <mergeCells count="4">
    <mergeCell ref="A1:B1"/>
    <mergeCell ref="D4:D6"/>
    <mergeCell ref="D10:D11"/>
    <mergeCell ref="D14:E14"/>
  </mergeCells>
  <dataValidations count="2">
    <dataValidation type="list" allowBlank="1" showInputMessage="1" showErrorMessage="1" sqref="C4" xr:uid="{EC7665A0-1973-4F69-A98F-14903299697F}">
      <formula1>$I$13:$I$17</formula1>
    </dataValidation>
    <dataValidation type="list" allowBlank="1" showInputMessage="1" showErrorMessage="1" sqref="B4" xr:uid="{910E52FA-EE03-45D5-B8BC-DBD1A5BC5048}">
      <formula1>$I$13:$I$14</formula1>
    </dataValidation>
  </dataValidations>
  <hyperlinks>
    <hyperlink ref="J25" r:id="rId1" xr:uid="{8A9D8989-4A9C-48D0-A4E3-618F4DDB9EE9}"/>
  </hyperlinks>
  <pageMargins left="0.7" right="0.7" top="0.75" bottom="0.75" header="0.3" footer="0.3"/>
  <pageSetup paperSize="9" orientation="portrait" r:id="rId2"/>
  <headerFooter>
    <oddFooter>&amp;L_x000D_&amp;1#&amp;"Calibri"&amp;10&amp;K008000 Confidential -C2- Internal</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MAJ</vt:lpstr>
      <vt:lpstr>Données</vt:lpstr>
      <vt:lpstr>Simulateur impôt 2025</vt:lpstr>
      <vt:lpstr>Simulateur impôt simplifié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Furtak</dc:creator>
  <cp:lastModifiedBy>GUILBERT, Guillaume (ext)</cp:lastModifiedBy>
  <dcterms:created xsi:type="dcterms:W3CDTF">2021-06-21T15:42:53Z</dcterms:created>
  <dcterms:modified xsi:type="dcterms:W3CDTF">2026-05-04T10:31:03Z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26af384-74fa-4222-b636-fc8f834be956_Enabled">
    <vt:lpwstr>true</vt:lpwstr>
  </property>
  <property fmtid="{D5CDD505-2E9C-101B-9397-08002B2CF9AE}" pid="3" name="MSIP_Label_c26af384-74fa-4222-b636-fc8f834be956_SetDate">
    <vt:lpwstr>2025-11-27T07:58:44Z</vt:lpwstr>
  </property>
  <property fmtid="{D5CDD505-2E9C-101B-9397-08002B2CF9AE}" pid="4" name="MSIP_Label_c26af384-74fa-4222-b636-fc8f834be956_Method">
    <vt:lpwstr>Standard</vt:lpwstr>
  </property>
  <property fmtid="{D5CDD505-2E9C-101B-9397-08002B2CF9AE}" pid="5" name="MSIP_Label_c26af384-74fa-4222-b636-fc8f834be956_Name">
    <vt:lpwstr>C2 - Confidential – Internal distribution</vt:lpwstr>
  </property>
  <property fmtid="{D5CDD505-2E9C-101B-9397-08002B2CF9AE}" pid="6" name="MSIP_Label_c26af384-74fa-4222-b636-fc8f834be956_SiteId">
    <vt:lpwstr>2696ce3d-b7da-4bf4-8f6d-b4df854adfcd</vt:lpwstr>
  </property>
  <property fmtid="{D5CDD505-2E9C-101B-9397-08002B2CF9AE}" pid="7" name="MSIP_Label_c26af384-74fa-4222-b636-fc8f834be956_ActionId">
    <vt:lpwstr>beb3ea28-92c8-4dc5-adbf-fe29560988d4</vt:lpwstr>
  </property>
  <property fmtid="{D5CDD505-2E9C-101B-9397-08002B2CF9AE}" pid="8" name="MSIP_Label_c26af384-74fa-4222-b636-fc8f834be956_ContentBits">
    <vt:lpwstr>2</vt:lpwstr>
  </property>
  <property fmtid="{D5CDD505-2E9C-101B-9397-08002B2CF9AE}" pid="9" name="MSIP_Label_c26af384-74fa-4222-b636-fc8f834be956_Tag">
    <vt:lpwstr>10, 3, 0, 1</vt:lpwstr>
  </property>
</Properties>
</file>