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15041946-my.sharepoint.com/personal/guillaume_guilbert_ext_plasticomnium_com/Documents/Documents/000-Perso/Conseil patrimoine/Outils/"/>
    </mc:Choice>
  </mc:AlternateContent>
  <xr:revisionPtr revIDLastSave="125" documentId="13_ncr:1_{94FEFB5F-3ED6-6A40-A1A9-E7F78A9C40C3}" xr6:coauthVersionLast="47" xr6:coauthVersionMax="47" xr10:uidLastSave="{A0D604C0-BFD1-4AB4-B6F4-E558C71C5A35}"/>
  <bookViews>
    <workbookView xWindow="-108" yWindow="-108" windowWidth="23256" windowHeight="13896" xr2:uid="{00000000-000D-0000-FFFF-FFFF00000000}"/>
  </bookViews>
  <sheets>
    <sheet name="Plan de charge" sheetId="1" r:id="rId1"/>
    <sheet name="Patrimoine" sheetId="2" state="hidden" r:id="rId2"/>
    <sheet name="Feuil1" sheetId="3" state="hidden" r:id="rId3"/>
    <sheet name="Solution Patrimoniale" sheetId="4" state="hidden" r:id="rId4"/>
  </sheets>
  <externalReferences>
    <externalReference r:id="rId5"/>
    <externalReference r:id="rId6"/>
    <externalReference r:id="rId7"/>
  </externalReferences>
  <definedNames>
    <definedName name="Ass_Vie_Euros_0">Patrimoine!$E$14</definedName>
    <definedName name="Ass_Vie_UC_0">Patrimoine!$E$15</definedName>
    <definedName name="Assurance" localSheetId="3">#REF!</definedName>
    <definedName name="Assurance">#REF!</definedName>
    <definedName name="Autres_Crédits" localSheetId="3">#REF!</definedName>
    <definedName name="Autres_Crédits">#REF!</definedName>
    <definedName name="Budget_Théorique">Patrimoine!$O$19</definedName>
    <definedName name="Capi_2">#REF!</definedName>
    <definedName name="CC_0">Patrimoine!$E$5</definedName>
    <definedName name="CEL_0">Patrimoine!$E$9</definedName>
    <definedName name="Crédit_Locatif" localSheetId="3">#REF!</definedName>
    <definedName name="Crédit_Locatif">#REF!</definedName>
    <definedName name="Crédit_RP" localSheetId="3">#REF!</definedName>
    <definedName name="Crédit_RP">#REF!</definedName>
    <definedName name="Crédits_Impôts">#REF!</definedName>
    <definedName name="Déduction_Impôts">#REF!</definedName>
    <definedName name="Diff_Après_Op">'[1]Calcul Taux d''endettement'!$G$11</definedName>
    <definedName name="Diff_Avant_Op">'[1]Calcul Taux d''endettement'!$G$10</definedName>
    <definedName name="Durée" localSheetId="3">#REF!</definedName>
    <definedName name="Durée">#REF!</definedName>
    <definedName name="Durée_2" localSheetId="0">'[2]Calculatrice Epargne'!$B$81+1</definedName>
    <definedName name="Durée_2">'[3]Calculatrice Epargne'!$B$81+1</definedName>
    <definedName name="Epargne_Precaution">Patrimoine!$E$32</definedName>
    <definedName name="Impôts_N1">#REF!</definedName>
    <definedName name="Int_valo">#REF!</definedName>
    <definedName name="Intérêts_2">#REF!</definedName>
    <definedName name="LA_0">Patrimoine!$E$6</definedName>
    <definedName name="LDD_0">Patrimoine!$E$7</definedName>
    <definedName name="LJ_0">Patrimoine!$E$8</definedName>
    <definedName name="Loyer" localSheetId="3">#REF!</definedName>
    <definedName name="Loyer">#REF!</definedName>
    <definedName name="Loyer_Invest" localSheetId="3">#REF!</definedName>
    <definedName name="Loyer_Invest">#REF!</definedName>
    <definedName name="Loyers_Perçus" localSheetId="3">#REF!</definedName>
    <definedName name="Loyers_Perçus">#REF!</definedName>
    <definedName name="Menusalité_Invest" localSheetId="3">#REF!</definedName>
    <definedName name="Menusalité_Invest">#REF!</definedName>
    <definedName name="Montant_Investir">Patrimoine!$D$35</definedName>
    <definedName name="Nb_Part_Fiscale">#REF!</definedName>
    <definedName name="Patrimoine_Total">Patrimoine!$H$14</definedName>
    <definedName name="PEA_0">Patrimoine!$E$16</definedName>
    <definedName name="PEE_0">Patrimoine!$E$17</definedName>
    <definedName name="PEL_0">Patrimoine!$E$13</definedName>
    <definedName name="PERCO_0">Patrimoine!$E$23</definedName>
    <definedName name="PERP_Euros_0">Patrimoine!$E$21</definedName>
    <definedName name="PERP_UC_0">Patrimoine!$E$22</definedName>
    <definedName name="Réductions_Impôts">#REF!</definedName>
    <definedName name="Revenu" localSheetId="3">#REF!</definedName>
    <definedName name="Revenu">#REF!</definedName>
    <definedName name="Salaire_N1">#REF!</definedName>
    <definedName name="Salaires" localSheetId="3">#REF!</definedName>
    <definedName name="Salaires">#REF!</definedName>
    <definedName name="Salires" localSheetId="3">#REF!</definedName>
    <definedName name="Salires">#REF!</definedName>
    <definedName name="SCPI_0">Patrimoine!$E$24</definedName>
    <definedName name="Taux_crédit" localSheetId="3">#REF!</definedName>
    <definedName name="Taux_crédit">#REF!</definedName>
    <definedName name="Temps_2">#REF!</definedName>
    <definedName name="Tx_End_Max" localSheetId="3">#REF!</definedName>
    <definedName name="Tx_End_Max">#REF!</definedName>
    <definedName name="Valeur_IL">Patrimoine!$J$6</definedName>
    <definedName name="Valeur_RP">Patrimoine!$J$5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pq76uWOAYir/z1pzWdBB7WDYbSoPrih+iWOWI28KdP8="/>
    </ext>
  </extLst>
</workbook>
</file>

<file path=xl/calcChain.xml><?xml version="1.0" encoding="utf-8"?>
<calcChain xmlns="http://schemas.openxmlformats.org/spreadsheetml/2006/main">
  <c r="P26" i="1" l="1"/>
  <c r="O26" i="1"/>
  <c r="P22" i="1"/>
  <c r="O22" i="1"/>
  <c r="Q22" i="1"/>
  <c r="P18" i="1"/>
  <c r="O18" i="1"/>
  <c r="Q18" i="1" s="1"/>
  <c r="Q6" i="1"/>
  <c r="Q7" i="1"/>
  <c r="Q8" i="1"/>
  <c r="Q9" i="1"/>
  <c r="Q10" i="1"/>
  <c r="Q11" i="1"/>
  <c r="Q12" i="1"/>
  <c r="Q13" i="1"/>
  <c r="Q15" i="1"/>
  <c r="Q16" i="1"/>
  <c r="Q17" i="1"/>
  <c r="Q19" i="1"/>
  <c r="Q20" i="1"/>
  <c r="Q21" i="1"/>
  <c r="Q23" i="1"/>
  <c r="Q24" i="1"/>
  <c r="Q25" i="1"/>
  <c r="Q5" i="1"/>
  <c r="P14" i="1"/>
  <c r="O14" i="1"/>
  <c r="G35" i="1"/>
  <c r="H14" i="1"/>
  <c r="G24" i="4"/>
  <c r="L15" i="4"/>
  <c r="C6" i="4"/>
  <c r="O88" i="2"/>
  <c r="O86" i="2"/>
  <c r="O85" i="2"/>
  <c r="O82" i="2"/>
  <c r="O81" i="2"/>
  <c r="E68" i="2"/>
  <c r="X44" i="2"/>
  <c r="E24" i="2"/>
  <c r="E88" i="2" s="1"/>
  <c r="E23" i="2"/>
  <c r="E22" i="2"/>
  <c r="L23" i="4" s="1"/>
  <c r="E21" i="2"/>
  <c r="L22" i="4" s="1"/>
  <c r="E17" i="2"/>
  <c r="E84" i="2" s="1"/>
  <c r="E16" i="2"/>
  <c r="E85" i="2" s="1"/>
  <c r="E15" i="2"/>
  <c r="L16" i="4" s="1"/>
  <c r="O14" i="2"/>
  <c r="E14" i="2"/>
  <c r="L14" i="4" s="1"/>
  <c r="O13" i="2"/>
  <c r="E13" i="2"/>
  <c r="L13" i="4" s="1"/>
  <c r="X12" i="2"/>
  <c r="O12" i="2"/>
  <c r="O11" i="2"/>
  <c r="E9" i="2"/>
  <c r="X6" i="2" s="1"/>
  <c r="E8" i="2"/>
  <c r="G9" i="4" s="1"/>
  <c r="L6" i="4" s="1"/>
  <c r="O7" i="2"/>
  <c r="E7" i="2"/>
  <c r="AC8" i="2" s="1"/>
  <c r="O6" i="2"/>
  <c r="J6" i="2"/>
  <c r="L27" i="4" s="1"/>
  <c r="E6" i="2"/>
  <c r="O5" i="2"/>
  <c r="J5" i="2"/>
  <c r="E5" i="2"/>
  <c r="G8" i="4" s="1"/>
  <c r="J35" i="1"/>
  <c r="O15" i="2" s="1"/>
  <c r="J23" i="1"/>
  <c r="G14" i="1"/>
  <c r="Q14" i="1" l="1"/>
  <c r="P27" i="1"/>
  <c r="Q26" i="1"/>
  <c r="O27" i="1"/>
  <c r="J25" i="1"/>
  <c r="AC21" i="2"/>
  <c r="X45" i="2" s="1"/>
  <c r="C80" i="4"/>
  <c r="O16" i="2"/>
  <c r="O17" i="2" s="1"/>
  <c r="I9" i="2"/>
  <c r="E89" i="2" s="1"/>
  <c r="O8" i="2"/>
  <c r="AC9" i="2"/>
  <c r="AC7" i="2" s="1"/>
  <c r="E25" i="2"/>
  <c r="G10" i="4"/>
  <c r="L7" i="4" s="1"/>
  <c r="C83" i="4"/>
  <c r="C79" i="4"/>
  <c r="L24" i="4"/>
  <c r="C84" i="4" s="1"/>
  <c r="E86" i="2"/>
  <c r="L25" i="4"/>
  <c r="L17" i="4"/>
  <c r="C82" i="4" s="1"/>
  <c r="L26" i="4"/>
  <c r="E87" i="2"/>
  <c r="L18" i="4"/>
  <c r="C81" i="4" s="1"/>
  <c r="E82" i="2"/>
  <c r="AC19" i="2"/>
  <c r="AC25" i="2"/>
  <c r="E83" i="2"/>
  <c r="E18" i="2"/>
  <c r="AC23" i="2"/>
  <c r="X5" i="2"/>
  <c r="E10" i="2"/>
  <c r="AC13" i="2"/>
  <c r="AC14" i="2"/>
  <c r="Q27" i="1" l="1"/>
  <c r="J38" i="1"/>
  <c r="J40" i="1"/>
  <c r="O87" i="2"/>
  <c r="O83" i="2"/>
  <c r="C4" i="4"/>
  <c r="O19" i="2"/>
  <c r="X17" i="2" s="1"/>
  <c r="X18" i="2" s="1"/>
  <c r="X7" i="2"/>
  <c r="X8" i="2" s="1"/>
  <c r="AC10" i="2"/>
  <c r="X40" i="2" s="1"/>
  <c r="L28" i="4"/>
  <c r="L79" i="4" s="1"/>
  <c r="D28" i="2"/>
  <c r="C3" i="4" s="1"/>
  <c r="X41" i="2"/>
  <c r="X46" i="2"/>
  <c r="AC26" i="2"/>
  <c r="L19" i="4"/>
  <c r="L78" i="4" s="1"/>
  <c r="G11" i="4"/>
  <c r="C86" i="4"/>
  <c r="L83" i="4"/>
  <c r="C85" i="4"/>
  <c r="L84" i="4"/>
  <c r="D35" i="2"/>
  <c r="E81" i="2"/>
  <c r="L82" i="4"/>
  <c r="G30" i="4" l="1"/>
  <c r="G31" i="4" s="1"/>
  <c r="Q6" i="4" s="1"/>
  <c r="C8" i="4"/>
  <c r="H14" i="2"/>
  <c r="C5" i="4" s="1"/>
  <c r="L8" i="4"/>
  <c r="Q5" i="4"/>
  <c r="X11" i="2"/>
  <c r="F5" i="4"/>
  <c r="C7" i="4"/>
  <c r="AC15" i="2" l="1"/>
  <c r="X13" i="2"/>
  <c r="G12" i="4"/>
  <c r="L9" i="4" l="1"/>
  <c r="L10" i="4" s="1"/>
  <c r="G13" i="4"/>
  <c r="X42" i="2"/>
  <c r="AC16" i="2"/>
  <c r="X43" i="2" s="1"/>
  <c r="L81" i="4" l="1"/>
  <c r="Q4" i="4"/>
  <c r="C78" i="4"/>
  <c r="L77" i="4"/>
  <c r="K31" i="4"/>
  <c r="Q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8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ID#AAAAum5ym2w
tc={2E3EFF23-D379-EA4D-8207-6197B610A6F2}    (2023-04-03 05:58:59)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Liquidités</t>
        </r>
      </text>
    </comment>
    <comment ref="O8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ID#AAAAum5ym20
tc={9BA6D293-780B-A74C-9C7A-0ECE15FEC75C}    (2023-04-03 05:58:59)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PEL, PEA, Ass Vie, Compte titres,…</t>
        </r>
      </text>
    </comment>
    <comment ref="O8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ID#AAAAum5ym3E
tc={0B9930BE-0EC8-944F-8DEF-8CEAD17C5294}    (2023-04-03 05:58:59)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PERP, PERCO, Immo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I8XxW4Flzhbk7d/LNAnODryD/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======
ID#AAAAum5ym24
tc={ECB1F3CF-E946-7B47-837A-3FA85675EE36}    (2023-04-03 05:58:59)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Liquidités</t>
        </r>
      </text>
    </comment>
    <comment ref="L7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======
ID#AAAAum5ym28
tc={52B2580B-C9A0-EF49-B718-BE01CB19E72D}    (2023-04-03 05:58:59)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PEL, PEA, Ass Vie, Compte titres,…</t>
        </r>
      </text>
    </comment>
    <comment ref="L79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ID#AAAAum5ym3A
tc={E09419C0-97C3-764E-AB6B-893A7B38CA6D}    (2023-04-03 05:58:59)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PERP, PERCO, Immo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YoDr2eMDhZh+5pwV+6MuppFe9A=="/>
    </ext>
  </extLst>
</comments>
</file>

<file path=xl/sharedStrings.xml><?xml version="1.0" encoding="utf-8"?>
<sst xmlns="http://schemas.openxmlformats.org/spreadsheetml/2006/main" count="314" uniqueCount="203">
  <si>
    <t>PLAN DE CHARGE / FLUX MENSUEL</t>
  </si>
  <si>
    <t>Epargne / Stock</t>
  </si>
  <si>
    <t>Prénom :</t>
  </si>
  <si>
    <t>Nom :</t>
  </si>
  <si>
    <t>Revenus</t>
  </si>
  <si>
    <t>Charges incompressibles (mensuel)</t>
  </si>
  <si>
    <t>Type de Compte / Placements</t>
  </si>
  <si>
    <t>Montant</t>
  </si>
  <si>
    <t>Date de naissance :</t>
  </si>
  <si>
    <t>Salaire mensuel net</t>
  </si>
  <si>
    <t>Loyer</t>
  </si>
  <si>
    <t>Lieu de naissance :</t>
  </si>
  <si>
    <t>Revenus locatifs</t>
  </si>
  <si>
    <t>Impôt mensuel</t>
  </si>
  <si>
    <t xml:space="preserve">Compte Courant n°2 : </t>
  </si>
  <si>
    <t>Revenus mobiliers</t>
  </si>
  <si>
    <t>Impôt foncier</t>
  </si>
  <si>
    <t xml:space="preserve">Compte Courant n°3 : </t>
  </si>
  <si>
    <t>Numéro de téléphone :</t>
  </si>
  <si>
    <t>Revenus BIC</t>
  </si>
  <si>
    <t>Taxe foncière</t>
  </si>
  <si>
    <t>Livret A</t>
  </si>
  <si>
    <t>Mail :</t>
  </si>
  <si>
    <t>Revenus BNC</t>
  </si>
  <si>
    <t>Taxe d'habitation</t>
  </si>
  <si>
    <t>LDD</t>
  </si>
  <si>
    <t>Revenus BA</t>
  </si>
  <si>
    <t>Nourriture</t>
  </si>
  <si>
    <t>CEL</t>
  </si>
  <si>
    <t>Pensions</t>
  </si>
  <si>
    <t>Pass Navigo</t>
  </si>
  <si>
    <t>Livret Jeune</t>
  </si>
  <si>
    <t>Retraite</t>
  </si>
  <si>
    <t>Transport (train, avion)</t>
  </si>
  <si>
    <t>PEL</t>
  </si>
  <si>
    <t>Autres</t>
  </si>
  <si>
    <t>Parking</t>
  </si>
  <si>
    <t>PEA</t>
  </si>
  <si>
    <t>Total</t>
  </si>
  <si>
    <t>Electricité</t>
  </si>
  <si>
    <t>Internet</t>
  </si>
  <si>
    <t>PERCO</t>
  </si>
  <si>
    <t>Téléphone</t>
  </si>
  <si>
    <t xml:space="preserve">Assurance Vie </t>
  </si>
  <si>
    <t>Assurance</t>
  </si>
  <si>
    <t>Crédit résidence principale</t>
  </si>
  <si>
    <t>SCPI</t>
  </si>
  <si>
    <t>Crédit consomation</t>
  </si>
  <si>
    <r>
      <rPr>
        <sz val="11"/>
        <color theme="1"/>
        <rFont val="Calibri"/>
        <family val="2"/>
      </rPr>
      <t xml:space="preserve">Autre placement </t>
    </r>
    <r>
      <rPr>
        <b/>
        <sz val="11"/>
        <color theme="1"/>
        <rFont val="Calibri"/>
        <family val="2"/>
      </rPr>
      <t>sécurisé</t>
    </r>
  </si>
  <si>
    <t>Pensions alimentaires versées</t>
  </si>
  <si>
    <r>
      <rPr>
        <sz val="11"/>
        <color theme="1"/>
        <rFont val="Calibri"/>
        <family val="2"/>
      </rPr>
      <t xml:space="preserve">Autre placement non </t>
    </r>
    <r>
      <rPr>
        <b/>
        <sz val="11"/>
        <color theme="1"/>
        <rFont val="Calibri"/>
        <family val="2"/>
      </rPr>
      <t>sécurisé</t>
    </r>
  </si>
  <si>
    <t>Crêches</t>
  </si>
  <si>
    <t>Budget = Revenus - Charges incompressibles</t>
  </si>
  <si>
    <t>Epargne mensuelle actuelle</t>
  </si>
  <si>
    <t>Loisirs</t>
  </si>
  <si>
    <t>Livrets</t>
  </si>
  <si>
    <t>Restaurants</t>
  </si>
  <si>
    <t>Sorties</t>
  </si>
  <si>
    <t>Assurance vie</t>
  </si>
  <si>
    <t>Sports</t>
  </si>
  <si>
    <t>Biens Immobiliers</t>
  </si>
  <si>
    <t>Investissement locatif</t>
  </si>
  <si>
    <t>Vacances</t>
  </si>
  <si>
    <t>Vêtements, décoration</t>
  </si>
  <si>
    <t>Type de bien</t>
  </si>
  <si>
    <t>Total pour les projets</t>
  </si>
  <si>
    <t>Autres - cours divers</t>
  </si>
  <si>
    <t>Résidence principale</t>
  </si>
  <si>
    <t>Résidence secondaire</t>
  </si>
  <si>
    <t>Investissement locatif n°1</t>
  </si>
  <si>
    <t>Budget Projets théorique</t>
  </si>
  <si>
    <t>Investissement locatif n°2</t>
  </si>
  <si>
    <t>…</t>
  </si>
  <si>
    <t>Faire cet exercice vous apportera une vision globale de votre budget !</t>
  </si>
  <si>
    <t>Situation à l'instant t =0</t>
  </si>
  <si>
    <t>Patrimoine Immobilier (en direct)</t>
  </si>
  <si>
    <t>Flux Mensuels</t>
  </si>
  <si>
    <t>Proposition Investissement</t>
  </si>
  <si>
    <t>Proposition Epargne</t>
  </si>
  <si>
    <t>Liquidité - Court Terme</t>
  </si>
  <si>
    <t>Immobilier</t>
  </si>
  <si>
    <t>Entrant</t>
  </si>
  <si>
    <t>Arbitrage Epargne de précaution</t>
  </si>
  <si>
    <t>CC</t>
  </si>
  <si>
    <t>Salaire</t>
  </si>
  <si>
    <t>LA</t>
  </si>
  <si>
    <t>Autres revenus</t>
  </si>
  <si>
    <t>LJ</t>
  </si>
  <si>
    <t>TOTAL IMMOBILIER NET</t>
  </si>
  <si>
    <t>TOTAL</t>
  </si>
  <si>
    <t>Sortant</t>
  </si>
  <si>
    <t>Versements Ponctuels</t>
  </si>
  <si>
    <t>Assurance Vie (Fds €)</t>
  </si>
  <si>
    <t>Epargne - Moyen Terme</t>
  </si>
  <si>
    <t>GIRARDIN</t>
  </si>
  <si>
    <t>TOTAL PATRIMOINE</t>
  </si>
  <si>
    <t>Impôts</t>
  </si>
  <si>
    <t>Ass Vie - Fds €</t>
  </si>
  <si>
    <t>Crédits</t>
  </si>
  <si>
    <t>PEE (monétaire)</t>
  </si>
  <si>
    <t>Ass Vie - Fds UC</t>
  </si>
  <si>
    <t>Versements Mensuels</t>
  </si>
  <si>
    <t>PEA ou PEA / PME</t>
  </si>
  <si>
    <t>Assurance Vie</t>
  </si>
  <si>
    <t>PEE</t>
  </si>
  <si>
    <t>Epargne - Long Terme</t>
  </si>
  <si>
    <t xml:space="preserve">Flux Nets </t>
  </si>
  <si>
    <t>PERP - Fds €</t>
  </si>
  <si>
    <t>PERP - Fds UC</t>
  </si>
  <si>
    <t>TOTAL EPARGNE</t>
  </si>
  <si>
    <t>Epargne de précaution souhaitée</t>
  </si>
  <si>
    <t>Liquidité - Epargne précaution</t>
  </si>
  <si>
    <t>Liquidité - CT</t>
  </si>
  <si>
    <t>PEL - MT</t>
  </si>
  <si>
    <t>Ass Vie €  - MT</t>
  </si>
  <si>
    <t>PEE - LT</t>
  </si>
  <si>
    <t>PERCO - LT</t>
  </si>
  <si>
    <t>Ass Vie UC - LT</t>
  </si>
  <si>
    <t>PEA - LT</t>
  </si>
  <si>
    <t>Court Terme</t>
  </si>
  <si>
    <t>Moyen Terme</t>
  </si>
  <si>
    <t>Ass Vie  - MT</t>
  </si>
  <si>
    <t>Long Terme</t>
  </si>
  <si>
    <t>PEE - MT</t>
  </si>
  <si>
    <t>PEA - MT</t>
  </si>
  <si>
    <t>Placements sécurisés</t>
  </si>
  <si>
    <t>PERP - LT</t>
  </si>
  <si>
    <t>Placements non sécurisés</t>
  </si>
  <si>
    <t>SCPI - LT</t>
  </si>
  <si>
    <t>Immobilier - LT</t>
  </si>
  <si>
    <t>A FAIRE</t>
  </si>
  <si>
    <t>1. MAJ onglet plan de charge</t>
  </si>
  <si>
    <t>2. MAJ Patrimoine</t>
  </si>
  <si>
    <t>3. dupliquer Patrimoine pour SUIVI</t>
  </si>
  <si>
    <t>3 . Imprimable</t>
  </si>
  <si>
    <t>Cahier des charges</t>
  </si>
  <si>
    <t>Proposition Epargne après Investissement</t>
  </si>
  <si>
    <t>Patrimoine Financier</t>
  </si>
  <si>
    <t>Patrimoine Immobilier</t>
  </si>
  <si>
    <t>Montant à investir</t>
  </si>
  <si>
    <t>Check Epargne de précaution</t>
  </si>
  <si>
    <t>Patrimoine Total</t>
  </si>
  <si>
    <t>Check Montant à investir</t>
  </si>
  <si>
    <t>Epargne de précaution</t>
  </si>
  <si>
    <t>Check Versements Mensuels</t>
  </si>
  <si>
    <t>Montant à optimiser</t>
  </si>
  <si>
    <t>Check total Patrimoine</t>
  </si>
  <si>
    <t>Budget mensuel</t>
  </si>
  <si>
    <t>Profil de risque</t>
  </si>
  <si>
    <t>Equilibré</t>
  </si>
  <si>
    <t>Versements Initiaux</t>
  </si>
  <si>
    <t>Ass Vie - Fds SCI</t>
  </si>
  <si>
    <t>Assurance Vie - Fds €</t>
  </si>
  <si>
    <t>Assurance Vie - Fds SCI</t>
  </si>
  <si>
    <t>Assurance Vie - Fds UC</t>
  </si>
  <si>
    <t>PEA Novaxia</t>
  </si>
  <si>
    <t>SCPI (cash)</t>
  </si>
  <si>
    <t>Girardin</t>
  </si>
  <si>
    <t>Investissement Locatif</t>
  </si>
  <si>
    <t>PINEL / SCPI</t>
  </si>
  <si>
    <t>Profession:</t>
  </si>
  <si>
    <t>Ancienneté:</t>
  </si>
  <si>
    <t>Nom de la société:</t>
  </si>
  <si>
    <t>Adresse actuelle:</t>
  </si>
  <si>
    <t>Propriétaire/Locataire:</t>
  </si>
  <si>
    <t>N°: téléphone:</t>
  </si>
  <si>
    <t>Mail:</t>
  </si>
  <si>
    <t>Conjoint</t>
  </si>
  <si>
    <t>Nombre d'enfant:</t>
  </si>
  <si>
    <t>Crédit 1</t>
  </si>
  <si>
    <t>Crédit 2</t>
  </si>
  <si>
    <t>Mensualités</t>
  </si>
  <si>
    <t>Taux</t>
  </si>
  <si>
    <t>Montant du crédit</t>
  </si>
  <si>
    <t>Profession du conjoint:</t>
  </si>
  <si>
    <t>Crédit (RP/Conso/…)</t>
  </si>
  <si>
    <t>Capital Restant Dû</t>
  </si>
  <si>
    <t>Date début du crédit</t>
  </si>
  <si>
    <t>Marié, pacsé etc. :</t>
  </si>
  <si>
    <t>Date du mariage/pacs :</t>
  </si>
  <si>
    <t>Régime :</t>
  </si>
  <si>
    <t>PER</t>
  </si>
  <si>
    <t>Durée</t>
  </si>
  <si>
    <t>Vous :</t>
  </si>
  <si>
    <t>Conjoint :</t>
  </si>
  <si>
    <t xml:space="preserve">Prime de départ </t>
  </si>
  <si>
    <t xml:space="preserve">Compte Courant n°1 [0%] : </t>
  </si>
  <si>
    <t>CEL [1% brut soit 0,7% net d'IR]</t>
  </si>
  <si>
    <t>PEL [2,5% net d'IR] max 10 000€</t>
  </si>
  <si>
    <t>LDD [1,7% net d'IR] max 12 800€</t>
  </si>
  <si>
    <t>Livret A [1,7% net d'IR] max 22 950€</t>
  </si>
  <si>
    <t>Compte à terme</t>
  </si>
  <si>
    <t>Epargne court terme</t>
  </si>
  <si>
    <t>PEE/PEG/PEI</t>
  </si>
  <si>
    <t>Epargne moyen terme</t>
  </si>
  <si>
    <t>Epargne long terme</t>
  </si>
  <si>
    <t>Global</t>
  </si>
  <si>
    <t>Autre épargne</t>
  </si>
  <si>
    <t>Budget Projets disponible</t>
  </si>
  <si>
    <t>Budget Projets désiré</t>
  </si>
  <si>
    <t>Prénom</t>
  </si>
  <si>
    <t>Date de naissance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</si>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</sst>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€&quot;_);[Red]\(#,##0\ &quot;€&quot;\)"/>
    <numFmt numFmtId="165" formatCode="#,##0\ &quot;€&quot;"/>
    <numFmt numFmtId="166" formatCode="d/m/yyyy"/>
    <numFmt numFmtId="167" formatCode="#,##0&quot; €/mois&quot;"/>
    <numFmt numFmtId="168" formatCode="_ * #,##0_)\ &quot;€&quot;_ ;_ * \(#,##0\)\ &quot;€&quot;_ ;_ * &quot;-&quot;??_)\ &quot;€&quot;_ ;_ @_ 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u/>
      <sz val="11"/>
      <color rgb="FF2F5496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rgb="FF2F5496"/>
      <name val="Calibri"/>
      <family val="2"/>
    </font>
    <font>
      <b/>
      <i/>
      <sz val="10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rgb="FF7F6000"/>
      <name val="Calibri"/>
      <family val="2"/>
    </font>
    <font>
      <sz val="11"/>
      <color rgb="FF7F6000"/>
      <name val="Calibri"/>
      <family val="2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sz val="11"/>
      <color rgb="FFA5A5A5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03764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Calibri"/>
      <family val="2"/>
    </font>
    <font>
      <b/>
      <sz val="14"/>
      <color theme="5" tint="-0.249977111117893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7F7F7F"/>
        <bgColor rgb="FF7F7F7F"/>
      </patternFill>
    </fill>
    <fill>
      <patternFill patternType="solid">
        <fgColor rgb="FFBF9000"/>
        <bgColor rgb="FFBF9000"/>
      </patternFill>
    </fill>
    <fill>
      <patternFill patternType="solid">
        <fgColor rgb="FFFFFDDD"/>
        <bgColor rgb="FFFFFDDD"/>
      </patternFill>
    </fill>
    <fill>
      <patternFill patternType="solid">
        <fgColor rgb="FF333F4F"/>
        <bgColor rgb="FF333F4F"/>
      </patternFill>
    </fill>
    <fill>
      <patternFill patternType="solid">
        <fgColor rgb="FFC00000"/>
        <bgColor rgb="FFC00000"/>
      </patternFill>
    </fill>
    <fill>
      <patternFill patternType="solid">
        <fgColor rgb="FFFFD965"/>
        <bgColor rgb="FFFFD965"/>
      </patternFill>
    </fill>
    <fill>
      <patternFill patternType="solid">
        <fgColor rgb="FF7F6000"/>
        <bgColor rgb="FF7F6000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rgb="FFD6D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9" tint="0.79998168889431442"/>
        <bgColor rgb="FFC5E0B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rgb="FFFFE59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rgb="FFF7CAA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0.59999389629810485"/>
        <bgColor rgb="FFE7DA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BFBFBF"/>
      </bottom>
      <diagonal/>
    </border>
    <border>
      <left/>
      <right style="thin">
        <color rgb="FF000000"/>
      </right>
      <top style="thin">
        <color rgb="FF000000"/>
      </top>
      <bottom style="dotted">
        <color rgb="FFBFBFBF"/>
      </bottom>
      <diagonal/>
    </border>
    <border>
      <left style="thin">
        <color rgb="FF000000"/>
      </left>
      <right/>
      <top style="dotted">
        <color rgb="FFBFBFBF"/>
      </top>
      <bottom style="dotted">
        <color rgb="FFBFBFBF"/>
      </bottom>
      <diagonal/>
    </border>
    <border>
      <left/>
      <right style="thin">
        <color rgb="FF000000"/>
      </right>
      <top style="dotted">
        <color rgb="FFBFBFBF"/>
      </top>
      <bottom style="dotted">
        <color rgb="FFBFBFB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tted">
        <color rgb="FFBFBFBF"/>
      </top>
      <bottom style="thin">
        <color rgb="FF000000"/>
      </bottom>
      <diagonal/>
    </border>
    <border>
      <left/>
      <right style="thin">
        <color rgb="FF000000"/>
      </right>
      <top style="dotted">
        <color rgb="FFBFBFBF"/>
      </top>
      <bottom style="thin">
        <color rgb="FF000000"/>
      </bottom>
      <diagonal/>
    </border>
    <border>
      <left style="dotted">
        <color rgb="FFBFBFBF"/>
      </left>
      <right/>
      <top style="dotted">
        <color rgb="FFBFBFBF"/>
      </top>
      <bottom style="dotted">
        <color rgb="FFBFBFBF"/>
      </bottom>
      <diagonal/>
    </border>
    <border>
      <left/>
      <right/>
      <top style="dotted">
        <color rgb="FFBFBFBF"/>
      </top>
      <bottom style="dotted">
        <color rgb="FFBFBFBF"/>
      </bottom>
      <diagonal/>
    </border>
    <border>
      <left/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 style="dotted">
        <color rgb="FFBFBFBF"/>
      </left>
      <right/>
      <top/>
      <bottom/>
      <diagonal/>
    </border>
    <border>
      <left/>
      <right style="dotted">
        <color rgb="FFBFBFBF"/>
      </right>
      <top/>
      <bottom/>
      <diagonal/>
    </border>
    <border>
      <left style="dotted">
        <color rgb="FFBFBFBF"/>
      </left>
      <right/>
      <top style="dotted">
        <color rgb="FFBFBFBF"/>
      </top>
      <bottom/>
      <diagonal/>
    </border>
    <border>
      <left/>
      <right/>
      <top style="dotted">
        <color rgb="FFBFBFBF"/>
      </top>
      <bottom/>
      <diagonal/>
    </border>
    <border>
      <left/>
      <right style="dotted">
        <color rgb="FFBFBFBF"/>
      </right>
      <top style="dotted">
        <color rgb="FFBFBFBF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tted">
        <color rgb="FFBFBFBF"/>
      </left>
      <right/>
      <top/>
      <bottom style="dotted">
        <color rgb="FFBFBFBF"/>
      </bottom>
      <diagonal/>
    </border>
    <border>
      <left/>
      <right/>
      <top/>
      <bottom style="dotted">
        <color rgb="FFBFBFBF"/>
      </bottom>
      <diagonal/>
    </border>
    <border>
      <left/>
      <right style="dotted">
        <color rgb="FFBFBFBF"/>
      </right>
      <top/>
      <bottom style="dotted">
        <color rgb="FFBFBFB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8EAADB"/>
      </left>
      <right/>
      <top style="dotted">
        <color rgb="FF8EAADB"/>
      </top>
      <bottom/>
      <diagonal/>
    </border>
    <border>
      <left/>
      <right/>
      <top style="dotted">
        <color rgb="FF8EAADB"/>
      </top>
      <bottom/>
      <diagonal/>
    </border>
    <border>
      <left/>
      <right style="dotted">
        <color rgb="FF8EAADB"/>
      </right>
      <top style="dotted">
        <color rgb="FF8EAADB"/>
      </top>
      <bottom/>
      <diagonal/>
    </border>
    <border>
      <left style="dotted">
        <color rgb="FF8EAADB"/>
      </left>
      <right/>
      <top/>
      <bottom/>
      <diagonal/>
    </border>
    <border>
      <left/>
      <right style="dotted">
        <color rgb="FF8EAADB"/>
      </right>
      <top/>
      <bottom/>
      <diagonal/>
    </border>
    <border>
      <left style="dotted">
        <color rgb="FF8EAADB"/>
      </left>
      <right/>
      <top/>
      <bottom style="dotted">
        <color rgb="FF8EAADB"/>
      </bottom>
      <diagonal/>
    </border>
    <border>
      <left/>
      <right/>
      <top/>
      <bottom style="dotted">
        <color rgb="FF8EAADB"/>
      </bottom>
      <diagonal/>
    </border>
    <border>
      <left/>
      <right style="dotted">
        <color rgb="FF8EAADB"/>
      </right>
      <top/>
      <bottom style="dotted">
        <color rgb="FF8EAADB"/>
      </bottom>
      <diagonal/>
    </border>
    <border>
      <left style="thin">
        <color rgb="FFA5A5A5"/>
      </left>
      <right/>
      <top style="thin">
        <color rgb="FFA5A5A5"/>
      </top>
      <bottom style="dotted">
        <color rgb="FFBFBFBF"/>
      </bottom>
      <diagonal/>
    </border>
    <border>
      <left/>
      <right style="thin">
        <color rgb="FFA5A5A5"/>
      </right>
      <top style="thin">
        <color rgb="FFA5A5A5"/>
      </top>
      <bottom style="dotted">
        <color rgb="FFBFBFBF"/>
      </bottom>
      <diagonal/>
    </border>
    <border>
      <left style="thin">
        <color rgb="FFA5A5A5"/>
      </left>
      <right/>
      <top style="dotted">
        <color rgb="FFBFBFBF"/>
      </top>
      <bottom style="dotted">
        <color rgb="FFBFBFBF"/>
      </bottom>
      <diagonal/>
    </border>
    <border>
      <left/>
      <right style="thin">
        <color rgb="FFA5A5A5"/>
      </right>
      <top style="dotted">
        <color rgb="FFBFBFBF"/>
      </top>
      <bottom style="dotted">
        <color rgb="FFBFBFBF"/>
      </bottom>
      <diagonal/>
    </border>
    <border>
      <left style="thin">
        <color rgb="FFA5A5A5"/>
      </left>
      <right/>
      <top style="dotted">
        <color rgb="FFBFBFBF"/>
      </top>
      <bottom style="thin">
        <color rgb="FFA5A5A5"/>
      </bottom>
      <diagonal/>
    </border>
    <border>
      <left/>
      <right style="thin">
        <color rgb="FFA5A5A5"/>
      </right>
      <top style="dotted">
        <color rgb="FFBFBFBF"/>
      </top>
      <bottom style="thin">
        <color rgb="FFA5A5A5"/>
      </bottom>
      <diagonal/>
    </border>
    <border>
      <left style="dotted">
        <color rgb="FFFFD965"/>
      </left>
      <right/>
      <top style="dotted">
        <color rgb="FFFFD965"/>
      </top>
      <bottom/>
      <diagonal/>
    </border>
    <border>
      <left/>
      <right/>
      <top style="dotted">
        <color rgb="FFFFD965"/>
      </top>
      <bottom/>
      <diagonal/>
    </border>
    <border>
      <left/>
      <right style="dotted">
        <color rgb="FFFFD965"/>
      </right>
      <top style="dotted">
        <color rgb="FFFFD965"/>
      </top>
      <bottom/>
      <diagonal/>
    </border>
    <border>
      <left/>
      <right style="dotted">
        <color rgb="FFFFD965"/>
      </right>
      <top/>
      <bottom/>
      <diagonal/>
    </border>
    <border>
      <left style="dotted">
        <color rgb="FFFFD965"/>
      </left>
      <right/>
      <top/>
      <bottom/>
      <diagonal/>
    </border>
    <border>
      <left style="dotted">
        <color rgb="FFFFD965"/>
      </left>
      <right/>
      <top/>
      <bottom style="dotted">
        <color rgb="FFFFD965"/>
      </bottom>
      <diagonal/>
    </border>
    <border>
      <left/>
      <right/>
      <top/>
      <bottom style="dotted">
        <color rgb="FFFFD965"/>
      </bottom>
      <diagonal/>
    </border>
    <border>
      <left/>
      <right style="dotted">
        <color rgb="FFFFD965"/>
      </right>
      <top/>
      <bottom style="dotted">
        <color rgb="FFFFD965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5" fontId="1" fillId="0" borderId="0" xfId="0" applyNumberFormat="1" applyFont="1" applyAlignment="1">
      <alignment horizontal="center"/>
    </xf>
    <xf numFmtId="0" fontId="1" fillId="2" borderId="1" xfId="0" applyFont="1" applyFill="1" applyBorder="1"/>
    <xf numFmtId="165" fontId="1" fillId="0" borderId="0" xfId="0" applyNumberFormat="1" applyFont="1"/>
    <xf numFmtId="0" fontId="1" fillId="0" borderId="0" xfId="0" applyFont="1" applyAlignment="1">
      <alignment vertical="center"/>
    </xf>
    <xf numFmtId="0" fontId="1" fillId="2" borderId="16" xfId="0" applyFont="1" applyFill="1" applyBorder="1"/>
    <xf numFmtId="0" fontId="1" fillId="2" borderId="17" xfId="0" applyFont="1" applyFill="1" applyBorder="1"/>
    <xf numFmtId="0" fontId="1" fillId="8" borderId="18" xfId="0" applyFont="1" applyFill="1" applyBorder="1"/>
    <xf numFmtId="0" fontId="1" fillId="8" borderId="19" xfId="0" applyFont="1" applyFill="1" applyBorder="1"/>
    <xf numFmtId="0" fontId="1" fillId="8" borderId="20" xfId="0" applyFont="1" applyFill="1" applyBorder="1"/>
    <xf numFmtId="0" fontId="1" fillId="8" borderId="16" xfId="0" applyFont="1" applyFill="1" applyBorder="1"/>
    <xf numFmtId="0" fontId="1" fillId="8" borderId="17" xfId="0" applyFont="1" applyFill="1" applyBorder="1"/>
    <xf numFmtId="0" fontId="5" fillId="0" borderId="10" xfId="0" applyFont="1" applyBorder="1"/>
    <xf numFmtId="168" fontId="1" fillId="0" borderId="21" xfId="0" applyNumberFormat="1" applyFont="1" applyBorder="1"/>
    <xf numFmtId="3" fontId="1" fillId="0" borderId="0" xfId="0" applyNumberFormat="1" applyFont="1"/>
    <xf numFmtId="0" fontId="5" fillId="0" borderId="22" xfId="0" applyFont="1" applyBorder="1"/>
    <xf numFmtId="168" fontId="1" fillId="0" borderId="23" xfId="0" applyNumberFormat="1" applyFont="1" applyBorder="1"/>
    <xf numFmtId="3" fontId="1" fillId="0" borderId="21" xfId="0" applyNumberFormat="1" applyFont="1" applyBorder="1"/>
    <xf numFmtId="0" fontId="10" fillId="0" borderId="10" xfId="0" applyFont="1" applyBorder="1"/>
    <xf numFmtId="3" fontId="11" fillId="0" borderId="21" xfId="0" applyNumberFormat="1" applyFont="1" applyBorder="1"/>
    <xf numFmtId="0" fontId="5" fillId="0" borderId="24" xfId="0" applyFont="1" applyBorder="1"/>
    <xf numFmtId="168" fontId="1" fillId="0" borderId="25" xfId="0" applyNumberFormat="1" applyFont="1" applyBorder="1"/>
    <xf numFmtId="165" fontId="1" fillId="0" borderId="21" xfId="0" applyNumberFormat="1" applyFont="1" applyBorder="1"/>
    <xf numFmtId="10" fontId="1" fillId="0" borderId="0" xfId="0" applyNumberFormat="1" applyFont="1"/>
    <xf numFmtId="165" fontId="1" fillId="0" borderId="25" xfId="0" applyNumberFormat="1" applyFont="1" applyBorder="1"/>
    <xf numFmtId="0" fontId="5" fillId="3" borderId="4" xfId="0" applyFont="1" applyFill="1" applyBorder="1"/>
    <xf numFmtId="168" fontId="5" fillId="3" borderId="5" xfId="0" applyNumberFormat="1" applyFont="1" applyFill="1" applyBorder="1"/>
    <xf numFmtId="0" fontId="5" fillId="5" borderId="4" xfId="0" applyFont="1" applyFill="1" applyBorder="1"/>
    <xf numFmtId="3" fontId="5" fillId="5" borderId="5" xfId="0" applyNumberFormat="1" applyFont="1" applyFill="1" applyBorder="1"/>
    <xf numFmtId="0" fontId="1" fillId="8" borderId="1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0" fillId="0" borderId="22" xfId="0" applyFont="1" applyBorder="1"/>
    <xf numFmtId="3" fontId="11" fillId="0" borderId="23" xfId="0" applyNumberFormat="1" applyFont="1" applyBorder="1"/>
    <xf numFmtId="0" fontId="10" fillId="0" borderId="24" xfId="0" applyFont="1" applyBorder="1"/>
    <xf numFmtId="3" fontId="11" fillId="0" borderId="25" xfId="0" applyNumberFormat="1" applyFont="1" applyBorder="1"/>
    <xf numFmtId="3" fontId="1" fillId="0" borderId="23" xfId="0" applyNumberFormat="1" applyFont="1" applyBorder="1"/>
    <xf numFmtId="3" fontId="1" fillId="0" borderId="25" xfId="0" applyNumberFormat="1" applyFont="1" applyBorder="1"/>
    <xf numFmtId="168" fontId="1" fillId="2" borderId="1" xfId="0" applyNumberFormat="1" applyFont="1" applyFill="1" applyBorder="1"/>
    <xf numFmtId="0" fontId="12" fillId="9" borderId="4" xfId="0" applyFont="1" applyFill="1" applyBorder="1" applyAlignment="1">
      <alignment horizontal="center"/>
    </xf>
    <xf numFmtId="168" fontId="5" fillId="0" borderId="3" xfId="0" applyNumberFormat="1" applyFont="1" applyBorder="1"/>
    <xf numFmtId="0" fontId="1" fillId="8" borderId="26" xfId="0" applyFont="1" applyFill="1" applyBorder="1"/>
    <xf numFmtId="0" fontId="1" fillId="8" borderId="27" xfId="0" applyFont="1" applyFill="1" applyBorder="1"/>
    <xf numFmtId="0" fontId="1" fillId="8" borderId="28" xfId="0" applyFont="1" applyFill="1" applyBorder="1"/>
    <xf numFmtId="0" fontId="5" fillId="0" borderId="2" xfId="0" applyFont="1" applyBorder="1"/>
    <xf numFmtId="168" fontId="1" fillId="0" borderId="3" xfId="0" applyNumberFormat="1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1" xfId="0" applyFont="1" applyBorder="1"/>
    <xf numFmtId="0" fontId="1" fillId="0" borderId="36" xfId="0" applyFont="1" applyBorder="1"/>
    <xf numFmtId="3" fontId="1" fillId="0" borderId="1" xfId="0" applyNumberFormat="1" applyFont="1" applyBorder="1"/>
    <xf numFmtId="0" fontId="1" fillId="0" borderId="22" xfId="0" applyFont="1" applyBorder="1"/>
    <xf numFmtId="0" fontId="1" fillId="0" borderId="10" xfId="0" applyFont="1" applyBorder="1"/>
    <xf numFmtId="0" fontId="1" fillId="0" borderId="24" xfId="0" applyFont="1" applyBorder="1"/>
    <xf numFmtId="0" fontId="1" fillId="0" borderId="0" xfId="0" applyFont="1" applyAlignment="1">
      <alignment horizontal="left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4" fillId="0" borderId="40" xfId="0" applyFont="1" applyBorder="1"/>
    <xf numFmtId="168" fontId="14" fillId="0" borderId="41" xfId="0" applyNumberFormat="1" applyFont="1" applyBorder="1"/>
    <xf numFmtId="0" fontId="14" fillId="0" borderId="42" xfId="0" applyFont="1" applyBorder="1"/>
    <xf numFmtId="168" fontId="14" fillId="0" borderId="43" xfId="0" applyNumberFormat="1" applyFont="1" applyBorder="1"/>
    <xf numFmtId="0" fontId="14" fillId="0" borderId="44" xfId="0" applyFont="1" applyBorder="1"/>
    <xf numFmtId="168" fontId="14" fillId="0" borderId="45" xfId="0" applyNumberFormat="1" applyFont="1" applyBorder="1"/>
    <xf numFmtId="0" fontId="14" fillId="0" borderId="0" xfId="0" applyFont="1"/>
    <xf numFmtId="168" fontId="14" fillId="0" borderId="0" xfId="0" applyNumberFormat="1" applyFont="1"/>
    <xf numFmtId="0" fontId="15" fillId="0" borderId="0" xfId="0" applyFont="1"/>
    <xf numFmtId="0" fontId="17" fillId="0" borderId="6" xfId="0" applyFont="1" applyBorder="1"/>
    <xf numFmtId="165" fontId="17" fillId="0" borderId="7" xfId="0" applyNumberFormat="1" applyFont="1" applyBorder="1"/>
    <xf numFmtId="0" fontId="17" fillId="0" borderId="8" xfId="0" applyFont="1" applyBorder="1"/>
    <xf numFmtId="165" fontId="17" fillId="0" borderId="9" xfId="0" applyNumberFormat="1" applyFont="1" applyBorder="1"/>
    <xf numFmtId="0" fontId="5" fillId="0" borderId="23" xfId="0" applyFont="1" applyBorder="1"/>
    <xf numFmtId="0" fontId="5" fillId="0" borderId="21" xfId="0" applyFont="1" applyBorder="1"/>
    <xf numFmtId="0" fontId="16" fillId="0" borderId="8" xfId="0" applyFont="1" applyBorder="1"/>
    <xf numFmtId="165" fontId="16" fillId="0" borderId="9" xfId="0" applyNumberFormat="1" applyFont="1" applyBorder="1"/>
    <xf numFmtId="0" fontId="5" fillId="0" borderId="25" xfId="0" applyFont="1" applyBorder="1"/>
    <xf numFmtId="0" fontId="16" fillId="0" borderId="11" xfId="0" applyFont="1" applyBorder="1"/>
    <xf numFmtId="165" fontId="16" fillId="0" borderId="12" xfId="0" applyNumberFormat="1" applyFont="1" applyBorder="1"/>
    <xf numFmtId="168" fontId="5" fillId="5" borderId="5" xfId="0" applyNumberFormat="1" applyFont="1" applyFill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1" fillId="13" borderId="1" xfId="0" applyFont="1" applyFill="1" applyBorder="1"/>
    <xf numFmtId="0" fontId="0" fillId="14" borderId="1" xfId="0" applyFill="1" applyBorder="1"/>
    <xf numFmtId="165" fontId="1" fillId="13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0" fontId="1" fillId="24" borderId="1" xfId="0" applyFont="1" applyFill="1" applyBorder="1"/>
    <xf numFmtId="165" fontId="1" fillId="0" borderId="1" xfId="0" applyNumberFormat="1" applyFont="1" applyBorder="1" applyAlignment="1">
      <alignment horizontal="right"/>
    </xf>
    <xf numFmtId="165" fontId="18" fillId="1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0" fontId="5" fillId="15" borderId="1" xfId="0" applyFont="1" applyFill="1" applyBorder="1" applyAlignment="1">
      <alignment horizontal="left"/>
    </xf>
    <xf numFmtId="165" fontId="5" fillId="15" borderId="1" xfId="0" applyNumberFormat="1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165" fontId="5" fillId="18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0" fontId="5" fillId="22" borderId="1" xfId="0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167" fontId="5" fillId="20" borderId="1" xfId="0" applyNumberFormat="1" applyFont="1" applyFill="1" applyBorder="1" applyAlignment="1">
      <alignment horizontal="center" vertical="center"/>
    </xf>
    <xf numFmtId="165" fontId="5" fillId="22" borderId="1" xfId="0" applyNumberFormat="1" applyFont="1" applyFill="1" applyBorder="1" applyAlignment="1">
      <alignment horizontal="center"/>
    </xf>
    <xf numFmtId="165" fontId="1" fillId="13" borderId="1" xfId="0" applyNumberFormat="1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/>
    </xf>
    <xf numFmtId="0" fontId="0" fillId="24" borderId="1" xfId="0" applyFill="1" applyBorder="1"/>
    <xf numFmtId="0" fontId="5" fillId="26" borderId="1" xfId="0" applyFont="1" applyFill="1" applyBorder="1" applyAlignment="1">
      <alignment horizontal="center"/>
    </xf>
    <xf numFmtId="165" fontId="1" fillId="24" borderId="1" xfId="0" applyNumberFormat="1" applyFont="1" applyFill="1" applyBorder="1"/>
    <xf numFmtId="0" fontId="1" fillId="24" borderId="1" xfId="0" applyFont="1" applyFill="1" applyBorder="1" applyAlignment="1">
      <alignment vertical="center"/>
    </xf>
    <xf numFmtId="0" fontId="5" fillId="25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0" fillId="0" borderId="1" xfId="0" applyFont="1" applyBorder="1"/>
    <xf numFmtId="164" fontId="21" fillId="0" borderId="1" xfId="0" applyNumberFormat="1" applyFont="1" applyBorder="1"/>
    <xf numFmtId="0" fontId="22" fillId="0" borderId="1" xfId="0" applyFont="1" applyBorder="1"/>
    <xf numFmtId="14" fontId="21" fillId="0" borderId="1" xfId="0" applyNumberFormat="1" applyFont="1" applyBorder="1"/>
    <xf numFmtId="0" fontId="21" fillId="0" borderId="1" xfId="0" applyFont="1" applyBorder="1"/>
    <xf numFmtId="0" fontId="5" fillId="14" borderId="1" xfId="0" applyFont="1" applyFill="1" applyBorder="1"/>
    <xf numFmtId="166" fontId="1" fillId="14" borderId="1" xfId="0" applyNumberFormat="1" applyFont="1" applyFill="1" applyBorder="1" applyAlignment="1">
      <alignment horizontal="center"/>
    </xf>
    <xf numFmtId="0" fontId="18" fillId="14" borderId="1" xfId="0" applyFont="1" applyFill="1" applyBorder="1"/>
    <xf numFmtId="0" fontId="19" fillId="14" borderId="1" xfId="0" applyFont="1" applyFill="1" applyBorder="1"/>
    <xf numFmtId="0" fontId="18" fillId="14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vertical="center"/>
    </xf>
    <xf numFmtId="0" fontId="18" fillId="14" borderId="1" xfId="0" applyFont="1" applyFill="1" applyBorder="1" applyAlignment="1">
      <alignment horizontal="center" vertical="center"/>
    </xf>
    <xf numFmtId="0" fontId="0" fillId="14" borderId="0" xfId="0" applyFill="1"/>
    <xf numFmtId="0" fontId="1" fillId="14" borderId="0" xfId="0" applyFont="1" applyFill="1" applyAlignment="1">
      <alignment horizontal="center"/>
    </xf>
    <xf numFmtId="0" fontId="23" fillId="14" borderId="1" xfId="0" applyFont="1" applyFill="1" applyBorder="1" applyAlignment="1">
      <alignment horizontal="left"/>
    </xf>
    <xf numFmtId="0" fontId="1" fillId="14" borderId="1" xfId="0" applyFont="1" applyFill="1" applyBorder="1" applyAlignment="1">
      <alignment horizontal="center" vertical="center"/>
    </xf>
    <xf numFmtId="0" fontId="23" fillId="14" borderId="1" xfId="0" applyFont="1" applyFill="1" applyBorder="1"/>
    <xf numFmtId="0" fontId="23" fillId="14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center"/>
    </xf>
    <xf numFmtId="0" fontId="1" fillId="14" borderId="1" xfId="0" applyFont="1" applyFill="1" applyBorder="1"/>
    <xf numFmtId="0" fontId="0" fillId="27" borderId="1" xfId="0" applyFill="1" applyBorder="1"/>
    <xf numFmtId="0" fontId="0" fillId="27" borderId="0" xfId="0" applyFill="1"/>
    <xf numFmtId="0" fontId="1" fillId="28" borderId="1" xfId="0" applyFont="1" applyFill="1" applyBorder="1"/>
    <xf numFmtId="0" fontId="5" fillId="28" borderId="1" xfId="0" applyFont="1" applyFill="1" applyBorder="1" applyAlignment="1">
      <alignment horizontal="left"/>
    </xf>
    <xf numFmtId="165" fontId="5" fillId="28" borderId="1" xfId="0" applyNumberFormat="1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/>
    </xf>
    <xf numFmtId="165" fontId="1" fillId="27" borderId="1" xfId="0" applyNumberFormat="1" applyFont="1" applyFill="1" applyBorder="1" applyAlignment="1">
      <alignment horizontal="center"/>
    </xf>
    <xf numFmtId="0" fontId="1" fillId="27" borderId="0" xfId="0" applyFont="1" applyFill="1" applyAlignment="1">
      <alignment horizontal="center"/>
    </xf>
    <xf numFmtId="165" fontId="1" fillId="27" borderId="0" xfId="0" applyNumberFormat="1" applyFont="1" applyFill="1" applyAlignment="1">
      <alignment horizontal="center"/>
    </xf>
    <xf numFmtId="0" fontId="1" fillId="14" borderId="1" xfId="0" applyFont="1" applyFill="1" applyBorder="1" applyAlignment="1">
      <alignment vertical="center"/>
    </xf>
    <xf numFmtId="49" fontId="1" fillId="14" borderId="1" xfId="0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/>
    </xf>
    <xf numFmtId="0" fontId="4" fillId="21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13" borderId="1" xfId="0" applyFont="1" applyFill="1" applyBorder="1" applyAlignment="1">
      <alignment horizontal="center" vertical="center"/>
    </xf>
    <xf numFmtId="0" fontId="4" fillId="14" borderId="1" xfId="0" applyFont="1" applyFill="1" applyBorder="1"/>
    <xf numFmtId="0" fontId="5" fillId="15" borderId="1" xfId="0" applyFont="1" applyFill="1" applyBorder="1" applyAlignment="1">
      <alignment horizontal="center" vertical="center"/>
    </xf>
    <xf numFmtId="0" fontId="4" fillId="16" borderId="1" xfId="0" applyFont="1" applyFill="1" applyBorder="1"/>
    <xf numFmtId="0" fontId="5" fillId="18" borderId="1" xfId="0" applyFont="1" applyFill="1" applyBorder="1" applyAlignment="1">
      <alignment horizontal="center" vertical="center"/>
    </xf>
    <xf numFmtId="0" fontId="4" fillId="19" borderId="1" xfId="0" applyFont="1" applyFill="1" applyBorder="1"/>
    <xf numFmtId="0" fontId="5" fillId="22" borderId="1" xfId="0" applyFont="1" applyFill="1" applyBorder="1" applyAlignment="1">
      <alignment horizontal="center"/>
    </xf>
    <xf numFmtId="0" fontId="4" fillId="23" borderId="1" xfId="0" applyFont="1" applyFill="1" applyBorder="1"/>
    <xf numFmtId="0" fontId="12" fillId="10" borderId="2" xfId="0" applyFont="1" applyFill="1" applyBorder="1" applyAlignment="1">
      <alignment horizontal="center"/>
    </xf>
    <xf numFmtId="0" fontId="4" fillId="0" borderId="31" xfId="0" applyFont="1" applyBorder="1"/>
    <xf numFmtId="0" fontId="4" fillId="0" borderId="3" xfId="0" applyFont="1" applyBorder="1"/>
    <xf numFmtId="165" fontId="13" fillId="0" borderId="2" xfId="0" applyNumberFormat="1" applyFont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4" fillId="0" borderId="30" xfId="0" applyFont="1" applyBorder="1"/>
    <xf numFmtId="0" fontId="5" fillId="5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9" fillId="7" borderId="13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9" fillId="12" borderId="13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 vertical="center"/>
    </xf>
    <xf numFmtId="165" fontId="1" fillId="14" borderId="1" xfId="0" applyNumberFormat="1" applyFont="1" applyFill="1" applyBorder="1" applyAlignment="1">
      <alignment horizontal="right"/>
    </xf>
    <xf numFmtId="0" fontId="1" fillId="29" borderId="1" xfId="0" applyFont="1" applyFill="1" applyBorder="1"/>
    <xf numFmtId="165" fontId="1" fillId="29" borderId="1" xfId="0" applyNumberFormat="1" applyFont="1" applyFill="1" applyBorder="1" applyAlignment="1">
      <alignment horizontal="right"/>
    </xf>
    <xf numFmtId="165" fontId="24" fillId="0" borderId="1" xfId="0" applyNumberFormat="1" applyFont="1" applyBorder="1" applyAlignment="1">
      <alignment horizontal="center" vertical="center"/>
    </xf>
    <xf numFmtId="0" fontId="24" fillId="29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color theme="1"/>
      </font>
      <fill>
        <patternFill patternType="solid">
          <fgColor rgb="FFC5E0B3"/>
          <bgColor rgb="FFC5E0B3"/>
        </patternFill>
      </fill>
    </dxf>
    <dxf>
      <font>
        <color theme="1"/>
      </font>
      <fill>
        <patternFill patternType="solid">
          <fgColor rgb="FFFCC1C0"/>
          <bgColor rgb="FFFCC1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customschemas.google.com/relationships/workbookmetadata" Target="metadata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Allocation INITIALE du patrimoine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25F-9544-A79B-90CCCE8644D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E25F-9544-A79B-90CCCE8644D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E25F-9544-A79B-90CCCE8644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E25F-9544-A79B-90CCCE8644DA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9-E25F-9544-A79B-90CCCE8644DA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B-E25F-9544-A79B-90CCCE8644DA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D-E25F-9544-A79B-90CCCE8644DA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F-E25F-9544-A79B-90CCCE8644DA}"/>
              </c:ext>
            </c:extLst>
          </c:dPt>
          <c:dPt>
            <c:idx val="8"/>
            <c:bubble3D val="0"/>
            <c:spPr>
              <a:solidFill>
                <a:srgbClr val="E5A77C"/>
              </a:solidFill>
            </c:spPr>
            <c:extLst>
              <c:ext xmlns:c16="http://schemas.microsoft.com/office/drawing/2014/chart" uri="{C3380CC4-5D6E-409C-BE32-E72D297353CC}">
                <c16:uniqueId val="{00000011-E25F-9544-A79B-90CCCE8644DA}"/>
              </c:ext>
            </c:extLst>
          </c:dPt>
          <c:cat>
            <c:strRef>
              <c:f>Patrimoine!$D$81:$D$89</c:f>
              <c:strCache>
                <c:ptCount val="9"/>
                <c:pt idx="0">
                  <c:v>Liquidité - CT</c:v>
                </c:pt>
                <c:pt idx="1">
                  <c:v>PEL - MT</c:v>
                </c:pt>
                <c:pt idx="2">
                  <c:v>Ass Vie  - MT</c:v>
                </c:pt>
                <c:pt idx="3">
                  <c:v>PEE - MT</c:v>
                </c:pt>
                <c:pt idx="4">
                  <c:v>PEA - MT</c:v>
                </c:pt>
                <c:pt idx="5">
                  <c:v>PERP - LT</c:v>
                </c:pt>
                <c:pt idx="6">
                  <c:v>PERCO - LT</c:v>
                </c:pt>
                <c:pt idx="7">
                  <c:v>SCPI - LT</c:v>
                </c:pt>
                <c:pt idx="8">
                  <c:v>Immobilier - LT</c:v>
                </c:pt>
              </c:strCache>
            </c:strRef>
          </c:cat>
          <c:val>
            <c:numRef>
              <c:f>Patrimoine!$E$81:$E$89</c:f>
              <c:numCache>
                <c:formatCode>_ * #\ ##0_)\ "€"_ ;_ * \(#\ ##0\)\ "€"_ ;_ * "-"??_)\ "€"_ ;_ 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25F-9544-A79B-90CCCE864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Allocation CIBLE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1-DE73-394E-9980-748D95AF0C02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3-DE73-394E-9980-748D95AF0C0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DE73-394E-9980-748D95AF0C02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7-DE73-394E-9980-748D95AF0C02}"/>
              </c:ext>
            </c:extLst>
          </c:dPt>
          <c:dPt>
            <c:idx val="4"/>
            <c:bubble3D val="0"/>
            <c:spPr>
              <a:solidFill>
                <a:srgbClr val="F4EDC8"/>
              </a:solidFill>
            </c:spPr>
            <c:extLst>
              <c:ext xmlns:c16="http://schemas.microsoft.com/office/drawing/2014/chart" uri="{C3380CC4-5D6E-409C-BE32-E72D297353CC}">
                <c16:uniqueId val="{00000009-DE73-394E-9980-748D95AF0C02}"/>
              </c:ext>
            </c:extLst>
          </c:dPt>
          <c:dPt>
            <c:idx val="5"/>
            <c:bubble3D val="0"/>
            <c:spPr>
              <a:solidFill>
                <a:srgbClr val="F4DBA8"/>
              </a:solidFill>
            </c:spPr>
            <c:extLst>
              <c:ext xmlns:c16="http://schemas.microsoft.com/office/drawing/2014/chart" uri="{C3380CC4-5D6E-409C-BE32-E72D297353CC}">
                <c16:uniqueId val="{0000000B-DE73-394E-9980-748D95AF0C02}"/>
              </c:ext>
            </c:extLst>
          </c:dPt>
          <c:dPt>
            <c:idx val="6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D-DE73-394E-9980-748D95AF0C02}"/>
              </c:ext>
            </c:extLst>
          </c:dPt>
          <c:dLbls>
            <c:dLbl>
              <c:idx val="3"/>
              <c:spPr/>
              <c:txPr>
                <a:bodyPr/>
                <a:lstStyle/>
                <a:p>
                  <a:pPr lvl="0">
                    <a:defRPr sz="1000" b="1" i="0">
                      <a:latin typeface="+mn-lt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E73-394E-9980-748D95AF0C02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 lvl="0">
                    <a:defRPr sz="1000" b="1" i="0">
                      <a:latin typeface="+mn-lt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DE73-394E-9980-748D95AF0C02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 lvl="0">
                    <a:defRPr sz="1000" b="1" i="0">
                      <a:latin typeface="+mn-lt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DE73-394E-9980-748D95AF0C0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Patrimoine!$W$40:$W$46</c:f>
              <c:strCache>
                <c:ptCount val="7"/>
                <c:pt idx="0">
                  <c:v>Liquidité - CT</c:v>
                </c:pt>
                <c:pt idx="1">
                  <c:v>PEL - MT</c:v>
                </c:pt>
                <c:pt idx="2">
                  <c:v>Ass Vie €  - MT</c:v>
                </c:pt>
                <c:pt idx="3">
                  <c:v>PEE - LT</c:v>
                </c:pt>
                <c:pt idx="4">
                  <c:v>PERCO - LT</c:v>
                </c:pt>
                <c:pt idx="5">
                  <c:v>Ass Vie UC - LT</c:v>
                </c:pt>
                <c:pt idx="6">
                  <c:v>PEA - LT</c:v>
                </c:pt>
              </c:strCache>
            </c:strRef>
          </c:cat>
          <c:val>
            <c:numRef>
              <c:f>Patrimoine!$X$40:$X$46</c:f>
              <c:numCache>
                <c:formatCode>#,##0</c:formatCode>
                <c:ptCount val="7"/>
                <c:pt idx="0">
                  <c:v>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E73-394E-9980-748D95AF0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Allocation du patrimoine actuel par Horizon de placement 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1-7AC1-4745-8470-2B929682F33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3-7AC1-4745-8470-2B929682F33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5-7AC1-4745-8470-2B929682F33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200" b="1" i="0"/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AC1-4745-8470-2B929682F33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Patrimoine!$N$81:$N$83</c:f>
              <c:strCache>
                <c:ptCount val="3"/>
                <c:pt idx="0">
                  <c:v>Court Terme</c:v>
                </c:pt>
                <c:pt idx="1">
                  <c:v>Moyen Terme</c:v>
                </c:pt>
                <c:pt idx="2">
                  <c:v>Long Terme</c:v>
                </c:pt>
              </c:strCache>
            </c:strRef>
          </c:cat>
          <c:val>
            <c:numRef>
              <c:f>Patrimoine!$O$81:$O$83</c:f>
              <c:numCache>
                <c:formatCode>_ * #\ ##0_)\ "€"_ ;_ * \(#\ ##0\)\ "€"_ ;_ * "-"??_)\ "€"_ ;_ @_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C1-4745-8470-2B929682F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Allocation du patrimoine actuel par Risque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1-A007-E743-B989-1D7ABF26B034}"/>
              </c:ext>
            </c:extLst>
          </c:dPt>
          <c:dPt>
            <c:idx val="1"/>
            <c:bubble3D val="0"/>
            <c:spPr>
              <a:solidFill>
                <a:srgbClr val="FCA49E"/>
              </a:solidFill>
            </c:spPr>
            <c:extLst>
              <c:ext xmlns:c16="http://schemas.microsoft.com/office/drawing/2014/chart" uri="{C3380CC4-5D6E-409C-BE32-E72D297353CC}">
                <c16:uniqueId val="{00000003-A007-E743-B989-1D7ABF26B03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A007-E743-B989-1D7ABF26B03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A007-E743-B989-1D7ABF26B034}"/>
              </c:ext>
            </c:extLst>
          </c:dPt>
          <c:cat>
            <c:strRef>
              <c:f>Patrimoine!$N$85:$N$88</c:f>
              <c:strCache>
                <c:ptCount val="4"/>
                <c:pt idx="0">
                  <c:v>Placements sécurisés</c:v>
                </c:pt>
                <c:pt idx="1">
                  <c:v>Placements non sécurisés</c:v>
                </c:pt>
                <c:pt idx="2">
                  <c:v>Immobilier</c:v>
                </c:pt>
                <c:pt idx="3">
                  <c:v>SCPI</c:v>
                </c:pt>
              </c:strCache>
            </c:strRef>
          </c:cat>
          <c:val>
            <c:numRef>
              <c:f>Patrimoine!$O$85:$O$88</c:f>
              <c:numCache>
                <c:formatCode>_ * #\ ##0_)\ "€"_ ;_ * \(#\ ##0\)\ "€"_ ;_ * "-"??_)\ "€"_ ;_ @_ 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07-E743-B989-1D7ABF26B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Allocation CIBLE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1-8F14-1248-8A45-D863FA08D18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8F14-1248-8A45-D863FA08D18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8F14-1248-8A45-D863FA08D1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8F14-1248-8A45-D863FA08D18F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9-8F14-1248-8A45-D863FA08D18F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B-8F14-1248-8A45-D863FA08D18F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D-8F14-1248-8A45-D863FA08D18F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F-8F14-1248-8A45-D863FA08D18F}"/>
              </c:ext>
            </c:extLst>
          </c:dPt>
          <c:dPt>
            <c:idx val="8"/>
            <c:bubble3D val="0"/>
            <c:spPr>
              <a:solidFill>
                <a:srgbClr val="E5A77C"/>
              </a:solidFill>
            </c:spPr>
            <c:extLst>
              <c:ext xmlns:c16="http://schemas.microsoft.com/office/drawing/2014/chart" uri="{C3380CC4-5D6E-409C-BE32-E72D297353CC}">
                <c16:uniqueId val="{00000011-8F14-1248-8A45-D863FA08D18F}"/>
              </c:ext>
            </c:extLst>
          </c:dPt>
          <c:cat>
            <c:strRef>
              <c:f>'Solution Patrimoniale'!$B$78:$B$86</c:f>
              <c:strCache>
                <c:ptCount val="9"/>
                <c:pt idx="0">
                  <c:v>Liquidité - CT</c:v>
                </c:pt>
                <c:pt idx="1">
                  <c:v>PEL - MT</c:v>
                </c:pt>
                <c:pt idx="2">
                  <c:v>Ass Vie  - MT</c:v>
                </c:pt>
                <c:pt idx="3">
                  <c:v>PEE - MT</c:v>
                </c:pt>
                <c:pt idx="4">
                  <c:v>PEA - MT</c:v>
                </c:pt>
                <c:pt idx="5">
                  <c:v>PERP - LT</c:v>
                </c:pt>
                <c:pt idx="6">
                  <c:v>PERCO - LT</c:v>
                </c:pt>
                <c:pt idx="7">
                  <c:v>SCPI - LT</c:v>
                </c:pt>
                <c:pt idx="8">
                  <c:v>Immobilier - LT</c:v>
                </c:pt>
              </c:strCache>
            </c:strRef>
          </c:cat>
          <c:val>
            <c:numRef>
              <c:f>'Solution Patrimoniale'!$C$78:$C$86</c:f>
              <c:numCache>
                <c:formatCode>_ * #\ ##0_)\ "€"_ ;_ * \(#\ ##0\)\ "€"_ ;_ * "-"??_)\ "€"_ ;_ @_ </c:formatCode>
                <c:ptCount val="9"/>
                <c:pt idx="0">
                  <c:v>30000</c:v>
                </c:pt>
                <c:pt idx="1">
                  <c:v>0</c:v>
                </c:pt>
                <c:pt idx="2">
                  <c:v>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F14-1248-8A45-D863FA08D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Allocation du patrimoine actuel par Horizon de placement 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1-6AD2-EB4D-AF28-4363098132A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3-6AD2-EB4D-AF28-4363098132A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5-6AD2-EB4D-AF28-4363098132A6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200" b="1" i="0"/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AD2-EB4D-AF28-4363098132A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'Solution Patrimoniale'!$K$77:$K$79</c:f>
              <c:strCache>
                <c:ptCount val="3"/>
                <c:pt idx="0">
                  <c:v>Court Terme</c:v>
                </c:pt>
                <c:pt idx="1">
                  <c:v>Moyen Terme</c:v>
                </c:pt>
                <c:pt idx="2">
                  <c:v>Long Terme</c:v>
                </c:pt>
              </c:strCache>
            </c:strRef>
          </c:cat>
          <c:val>
            <c:numRef>
              <c:f>'Solution Patrimoniale'!$L$77:$L$79</c:f>
              <c:numCache>
                <c:formatCode>_ * #\ ##0_)\ "€"_ ;_ * \(#\ ##0\)\ "€"_ ;_ * "-"??_)\ "€"_ ;_ @_ </c:formatCode>
                <c:ptCount val="3"/>
                <c:pt idx="0">
                  <c:v>30000</c:v>
                </c:pt>
                <c:pt idx="1">
                  <c:v>20000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D2-EB4D-AF28-436309813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Allocation du patrimoine actuel par Risque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1-B307-B64B-B66C-AF236F320103}"/>
              </c:ext>
            </c:extLst>
          </c:dPt>
          <c:dPt>
            <c:idx val="1"/>
            <c:bubble3D val="0"/>
            <c:spPr>
              <a:solidFill>
                <a:srgbClr val="FCA49E"/>
              </a:solidFill>
            </c:spPr>
            <c:extLst>
              <c:ext xmlns:c16="http://schemas.microsoft.com/office/drawing/2014/chart" uri="{C3380CC4-5D6E-409C-BE32-E72D297353CC}">
                <c16:uniqueId val="{00000003-B307-B64B-B66C-AF236F32010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B307-B64B-B66C-AF236F32010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B307-B64B-B66C-AF236F320103}"/>
              </c:ext>
            </c:extLst>
          </c:dPt>
          <c:cat>
            <c:strRef>
              <c:f>'Solution Patrimoniale'!$K$81:$K$84</c:f>
              <c:strCache>
                <c:ptCount val="4"/>
                <c:pt idx="0">
                  <c:v>Placements sécurisés</c:v>
                </c:pt>
                <c:pt idx="1">
                  <c:v>Placements non sécurisés</c:v>
                </c:pt>
                <c:pt idx="2">
                  <c:v>Immobilier</c:v>
                </c:pt>
                <c:pt idx="3">
                  <c:v>SCPI</c:v>
                </c:pt>
              </c:strCache>
            </c:strRef>
          </c:cat>
          <c:val>
            <c:numRef>
              <c:f>'Solution Patrimoniale'!$L$81:$L$84</c:f>
              <c:numCache>
                <c:formatCode>_ * #\ ##0_)\ "€"_ ;_ * \(#\ ##0\)\ "€"_ ;_ * "-"??_)\ "€"_ ;_ @_ 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07-B64B-B66C-AF236F320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45</xdr:row>
      <xdr:rowOff>57150</xdr:rowOff>
    </xdr:from>
    <xdr:ext cx="6162675" cy="4800600"/>
    <xdr:graphicFrame macro="">
      <xdr:nvGraphicFramePr>
        <xdr:cNvPr id="2080832721" name="Chart 1">
          <a:extLst>
            <a:ext uri="{FF2B5EF4-FFF2-40B4-BE49-F238E27FC236}">
              <a16:creationId xmlns:a16="http://schemas.microsoft.com/office/drawing/2014/main" id="{00000000-0008-0000-0100-0000D1FC0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428625</xdr:colOff>
      <xdr:row>37</xdr:row>
      <xdr:rowOff>76200</xdr:rowOff>
    </xdr:from>
    <xdr:ext cx="6019800" cy="3838575"/>
    <xdr:graphicFrame macro="">
      <xdr:nvGraphicFramePr>
        <xdr:cNvPr id="749918919" name="Chart 2">
          <a:extLst>
            <a:ext uri="{FF2B5EF4-FFF2-40B4-BE49-F238E27FC236}">
              <a16:creationId xmlns:a16="http://schemas.microsoft.com/office/drawing/2014/main" id="{00000000-0008-0000-0100-0000C7DAB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180975</xdr:colOff>
      <xdr:row>37</xdr:row>
      <xdr:rowOff>133350</xdr:rowOff>
    </xdr:from>
    <xdr:ext cx="6362700" cy="3838575"/>
    <xdr:graphicFrame macro="">
      <xdr:nvGraphicFramePr>
        <xdr:cNvPr id="1826021313" name="Chart 3">
          <a:extLst>
            <a:ext uri="{FF2B5EF4-FFF2-40B4-BE49-F238E27FC236}">
              <a16:creationId xmlns:a16="http://schemas.microsoft.com/office/drawing/2014/main" id="{00000000-0008-0000-0100-0000C1DFD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180975</xdr:colOff>
      <xdr:row>56</xdr:row>
      <xdr:rowOff>114300</xdr:rowOff>
    </xdr:from>
    <xdr:ext cx="6362700" cy="3838575"/>
    <xdr:graphicFrame macro="">
      <xdr:nvGraphicFramePr>
        <xdr:cNvPr id="2060021168" name="Chart 4">
          <a:extLst>
            <a:ext uri="{FF2B5EF4-FFF2-40B4-BE49-F238E27FC236}">
              <a16:creationId xmlns:a16="http://schemas.microsoft.com/office/drawing/2014/main" id="{00000000-0008-0000-0100-0000B06DC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40</xdr:row>
      <xdr:rowOff>104775</xdr:rowOff>
    </xdr:from>
    <xdr:ext cx="6667500" cy="5676900"/>
    <xdr:graphicFrame macro="">
      <xdr:nvGraphicFramePr>
        <xdr:cNvPr id="697427061" name="Chart 5">
          <a:extLst>
            <a:ext uri="{FF2B5EF4-FFF2-40B4-BE49-F238E27FC236}">
              <a16:creationId xmlns:a16="http://schemas.microsoft.com/office/drawing/2014/main" id="{00000000-0008-0000-0300-000075E49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180975</xdr:colOff>
      <xdr:row>34</xdr:row>
      <xdr:rowOff>133350</xdr:rowOff>
    </xdr:from>
    <xdr:ext cx="6696075" cy="3838575"/>
    <xdr:graphicFrame macro="">
      <xdr:nvGraphicFramePr>
        <xdr:cNvPr id="1435498365" name="Chart 6">
          <a:extLst>
            <a:ext uri="{FF2B5EF4-FFF2-40B4-BE49-F238E27FC236}">
              <a16:creationId xmlns:a16="http://schemas.microsoft.com/office/drawing/2014/main" id="{00000000-0008-0000-0300-00007DF78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180975</xdr:colOff>
      <xdr:row>53</xdr:row>
      <xdr:rowOff>114300</xdr:rowOff>
    </xdr:from>
    <xdr:ext cx="6696075" cy="3838575"/>
    <xdr:graphicFrame macro="">
      <xdr:nvGraphicFramePr>
        <xdr:cNvPr id="1297239763" name="Chart 7">
          <a:extLst>
            <a:ext uri="{FF2B5EF4-FFF2-40B4-BE49-F238E27FC236}">
              <a16:creationId xmlns:a16="http://schemas.microsoft.com/office/drawing/2014/main" id="{00000000-0008-0000-0300-0000D34E5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sebastienriedinger/Documents/CGP/Formations/De&#769;fi_Pro/Atelier_Anime&#769;/Maquette_Taux_Endettement.xlsx" TargetMode="External"/><Relationship Id="rId1" Type="http://schemas.openxmlformats.org/officeDocument/2006/relationships/externalLinkPath" Target="/Users/sebastienriedinger/Documents/CGP/Formations/De&#769;fi_Pro/Atelier_Anime&#769;/Maquette_Taux_Endette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ebastien.riedinger\Documents\GP\Client\Jordane\Outil%20Assurance-Vie%20V5.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bastien.riedinger\Documents\GP\Client\Jordane\Outil%20Assurance-Vie%20V5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 Capacité d'endettement"/>
      <sheetName val="Calcul Taux d'endettemen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Source"/>
      <sheetName val="Données_VP"/>
      <sheetName val="VP"/>
      <sheetName val="Simulation_conseiller"/>
      <sheetName val="Epargen JO"/>
      <sheetName val="Calculatrice Epargne"/>
      <sheetName val="Calculatrice Epargne_Fortuneo"/>
      <sheetName val="CR_client"/>
      <sheetName val="Bulletin_souscription"/>
      <sheetName val="Stratégie_fonds"/>
      <sheetName val="Allocation"/>
      <sheetName val="Feui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Source"/>
      <sheetName val="Données_VP"/>
      <sheetName val="VP"/>
      <sheetName val="Simulation_conseiller"/>
      <sheetName val="Epargen JO"/>
      <sheetName val="Calculatrice Epargne"/>
      <sheetName val="Calculatrice Epargne_Fortuneo"/>
      <sheetName val="CR_client"/>
      <sheetName val="Bulletin_souscription"/>
      <sheetName val="Stratégie_fonds"/>
      <sheetName val="Allocation"/>
      <sheetName val="Feui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5"/>
  </sheetPr>
  <dimension ref="A1:AA1009"/>
  <sheetViews>
    <sheetView showGridLines="0" tabSelected="1" zoomScale="80" zoomScaleNormal="80" workbookViewId="0">
      <selection activeCell="C25" sqref="C25"/>
    </sheetView>
  </sheetViews>
  <sheetFormatPr baseColWidth="10" defaultColWidth="14.44140625" defaultRowHeight="15" customHeight="1" x14ac:dyDescent="0.3"/>
  <cols>
    <col min="1" max="1" width="2.77734375" customWidth="1"/>
    <col min="2" max="2" width="28.88671875" customWidth="1"/>
    <col min="3" max="3" width="13.21875" customWidth="1"/>
    <col min="4" max="4" width="3.44140625" customWidth="1"/>
    <col min="5" max="5" width="6.6640625" customWidth="1"/>
    <col min="6" max="6" width="29.21875" customWidth="1"/>
    <col min="7" max="7" width="13.21875" customWidth="1"/>
    <col min="8" max="8" width="15.44140625" customWidth="1"/>
    <col min="9" max="9" width="26.21875" customWidth="1"/>
    <col min="10" max="10" width="14.33203125" customWidth="1"/>
    <col min="11" max="11" width="6.77734375" customWidth="1"/>
    <col min="12" max="12" width="5.21875" customWidth="1"/>
    <col min="13" max="13" width="9.21875" customWidth="1"/>
    <col min="14" max="14" width="31.21875" customWidth="1"/>
    <col min="15" max="15" width="11.44140625" customWidth="1"/>
    <col min="16" max="17" width="10.6640625" customWidth="1"/>
    <col min="18" max="27" width="9.21875" customWidth="1"/>
  </cols>
  <sheetData>
    <row r="1" spans="2:18" ht="14.4" x14ac:dyDescent="0.3">
      <c r="C1" s="1"/>
      <c r="D1" s="2"/>
      <c r="G1" s="3"/>
      <c r="H1" s="1"/>
    </row>
    <row r="2" spans="2:18" ht="22.5" customHeight="1" x14ac:dyDescent="0.3">
      <c r="B2" s="140" t="s">
        <v>183</v>
      </c>
      <c r="C2" s="139"/>
      <c r="E2" s="92"/>
      <c r="F2" s="167" t="s">
        <v>0</v>
      </c>
      <c r="G2" s="168"/>
      <c r="H2" s="168"/>
      <c r="I2" s="168"/>
      <c r="J2" s="168"/>
      <c r="K2" s="92"/>
      <c r="M2" s="100"/>
      <c r="N2" s="161" t="s">
        <v>1</v>
      </c>
      <c r="O2" s="161"/>
      <c r="P2" s="161"/>
      <c r="Q2" s="160"/>
      <c r="R2" s="120"/>
    </row>
    <row r="3" spans="2:18" ht="14.25" customHeight="1" x14ac:dyDescent="0.3">
      <c r="B3" s="131" t="s">
        <v>2</v>
      </c>
      <c r="C3" s="99"/>
      <c r="E3" s="92"/>
      <c r="F3" s="92"/>
      <c r="G3" s="94"/>
      <c r="H3" s="95"/>
      <c r="I3" s="92"/>
      <c r="J3" s="92"/>
      <c r="K3" s="92"/>
      <c r="M3" s="100"/>
      <c r="N3" s="100"/>
      <c r="O3" s="100"/>
      <c r="P3" s="100"/>
      <c r="Q3" s="100"/>
      <c r="R3" s="120"/>
    </row>
    <row r="4" spans="2:18" ht="14.4" x14ac:dyDescent="0.3">
      <c r="B4" s="131" t="s">
        <v>3</v>
      </c>
      <c r="C4" s="99"/>
      <c r="E4" s="92"/>
      <c r="F4" s="169" t="s">
        <v>4</v>
      </c>
      <c r="G4" s="170"/>
      <c r="H4" s="102" t="s">
        <v>167</v>
      </c>
      <c r="I4" s="171" t="s">
        <v>5</v>
      </c>
      <c r="J4" s="172"/>
      <c r="K4" s="95"/>
      <c r="M4" s="100"/>
      <c r="N4" s="121" t="s">
        <v>6</v>
      </c>
      <c r="O4" s="121" t="s">
        <v>7</v>
      </c>
      <c r="P4" s="121" t="s">
        <v>167</v>
      </c>
      <c r="Q4" s="121" t="s">
        <v>196</v>
      </c>
      <c r="R4" s="120"/>
    </row>
    <row r="5" spans="2:18" ht="14.4" x14ac:dyDescent="0.3">
      <c r="B5" s="131" t="s">
        <v>8</v>
      </c>
      <c r="C5" s="132"/>
      <c r="E5" s="92"/>
      <c r="F5" s="103" t="s">
        <v>9</v>
      </c>
      <c r="G5" s="104">
        <v>0</v>
      </c>
      <c r="H5" s="104">
        <v>0</v>
      </c>
      <c r="I5" s="103" t="s">
        <v>10</v>
      </c>
      <c r="J5" s="104">
        <v>0</v>
      </c>
      <c r="K5" s="118"/>
      <c r="M5" s="100"/>
      <c r="N5" s="53" t="s">
        <v>186</v>
      </c>
      <c r="O5" s="101">
        <v>0</v>
      </c>
      <c r="P5" s="101">
        <v>0</v>
      </c>
      <c r="Q5" s="101">
        <f>SUM(O5:P5)</f>
        <v>0</v>
      </c>
      <c r="R5" s="120"/>
    </row>
    <row r="6" spans="2:18" ht="14.4" x14ac:dyDescent="0.3">
      <c r="B6" s="131" t="s">
        <v>11</v>
      </c>
      <c r="C6" s="99"/>
      <c r="E6" s="92"/>
      <c r="F6" s="103" t="s">
        <v>12</v>
      </c>
      <c r="G6" s="104">
        <v>0</v>
      </c>
      <c r="H6" s="104">
        <v>0</v>
      </c>
      <c r="I6" s="103" t="s">
        <v>13</v>
      </c>
      <c r="J6" s="104">
        <v>0</v>
      </c>
      <c r="K6" s="109"/>
      <c r="M6" s="100"/>
      <c r="N6" s="53" t="s">
        <v>14</v>
      </c>
      <c r="O6" s="101">
        <v>0</v>
      </c>
      <c r="P6" s="101">
        <v>0</v>
      </c>
      <c r="Q6" s="101">
        <f t="shared" ref="Q6:Q25" si="0">SUM(O6:P6)</f>
        <v>0</v>
      </c>
      <c r="R6" s="120"/>
    </row>
    <row r="7" spans="2:18" ht="14.4" x14ac:dyDescent="0.3">
      <c r="B7" s="133" t="s">
        <v>165</v>
      </c>
      <c r="C7" s="159"/>
      <c r="E7" s="92"/>
      <c r="F7" s="103" t="s">
        <v>15</v>
      </c>
      <c r="G7" s="104">
        <v>0</v>
      </c>
      <c r="H7" s="104">
        <v>0</v>
      </c>
      <c r="I7" s="103" t="s">
        <v>16</v>
      </c>
      <c r="J7" s="104">
        <v>0</v>
      </c>
      <c r="K7" s="109"/>
      <c r="M7" s="100"/>
      <c r="N7" s="53" t="s">
        <v>17</v>
      </c>
      <c r="O7" s="101">
        <v>0</v>
      </c>
      <c r="P7" s="101">
        <v>0</v>
      </c>
      <c r="Q7" s="101">
        <f t="shared" si="0"/>
        <v>0</v>
      </c>
      <c r="R7" s="120"/>
    </row>
    <row r="8" spans="2:18" ht="14.4" x14ac:dyDescent="0.3">
      <c r="B8" s="134" t="s">
        <v>166</v>
      </c>
      <c r="C8" s="93"/>
      <c r="E8" s="92"/>
      <c r="F8" s="103" t="s">
        <v>19</v>
      </c>
      <c r="G8" s="104">
        <v>0</v>
      </c>
      <c r="H8" s="104">
        <v>0</v>
      </c>
      <c r="I8" s="103" t="s">
        <v>20</v>
      </c>
      <c r="J8" s="104">
        <v>0</v>
      </c>
      <c r="K8" s="109"/>
      <c r="M8" s="100"/>
      <c r="N8" s="53" t="s">
        <v>190</v>
      </c>
      <c r="O8" s="101">
        <v>0</v>
      </c>
      <c r="P8" s="101">
        <v>0</v>
      </c>
      <c r="Q8" s="101">
        <f t="shared" si="0"/>
        <v>0</v>
      </c>
      <c r="R8" s="120"/>
    </row>
    <row r="9" spans="2:18" ht="14.4" x14ac:dyDescent="0.3">
      <c r="B9" s="134" t="s">
        <v>160</v>
      </c>
      <c r="C9" s="135"/>
      <c r="E9" s="92"/>
      <c r="F9" s="103" t="s">
        <v>23</v>
      </c>
      <c r="G9" s="104">
        <v>0</v>
      </c>
      <c r="H9" s="104">
        <v>0</v>
      </c>
      <c r="I9" s="103" t="s">
        <v>24</v>
      </c>
      <c r="J9" s="104">
        <v>0</v>
      </c>
      <c r="K9" s="109"/>
      <c r="M9" s="100"/>
      <c r="N9" s="53" t="s">
        <v>189</v>
      </c>
      <c r="O9" s="101">
        <v>0</v>
      </c>
      <c r="P9" s="101">
        <v>0</v>
      </c>
      <c r="Q9" s="101">
        <f t="shared" si="0"/>
        <v>0</v>
      </c>
      <c r="R9" s="120"/>
    </row>
    <row r="10" spans="2:18" ht="14.4" x14ac:dyDescent="0.3">
      <c r="B10" s="136" t="s">
        <v>161</v>
      </c>
      <c r="C10" s="137"/>
      <c r="E10" s="92"/>
      <c r="F10" s="103" t="s">
        <v>26</v>
      </c>
      <c r="G10" s="104">
        <v>0</v>
      </c>
      <c r="H10" s="104">
        <v>0</v>
      </c>
      <c r="I10" s="103" t="s">
        <v>27</v>
      </c>
      <c r="J10" s="104">
        <v>0</v>
      </c>
      <c r="K10" s="109"/>
      <c r="M10" s="100"/>
      <c r="N10" s="53" t="s">
        <v>187</v>
      </c>
      <c r="O10" s="101">
        <v>0</v>
      </c>
      <c r="P10" s="101">
        <v>0</v>
      </c>
      <c r="Q10" s="101">
        <f t="shared" si="0"/>
        <v>0</v>
      </c>
      <c r="R10" s="120"/>
    </row>
    <row r="11" spans="2:18" ht="14.4" x14ac:dyDescent="0.3">
      <c r="B11" s="134" t="s">
        <v>162</v>
      </c>
      <c r="C11" s="135"/>
      <c r="E11" s="92"/>
      <c r="F11" s="103" t="s">
        <v>29</v>
      </c>
      <c r="G11" s="104">
        <v>0</v>
      </c>
      <c r="H11" s="104">
        <v>0</v>
      </c>
      <c r="I11" s="103" t="s">
        <v>30</v>
      </c>
      <c r="J11" s="104">
        <v>0</v>
      </c>
      <c r="K11" s="109"/>
      <c r="M11" s="100"/>
      <c r="N11" s="53" t="s">
        <v>31</v>
      </c>
      <c r="O11" s="101">
        <v>0</v>
      </c>
      <c r="P11" s="101">
        <v>0</v>
      </c>
      <c r="Q11" s="101">
        <f t="shared" si="0"/>
        <v>0</v>
      </c>
      <c r="R11" s="120"/>
    </row>
    <row r="12" spans="2:18" ht="14.4" x14ac:dyDescent="0.3">
      <c r="B12" s="93"/>
      <c r="C12" s="93"/>
      <c r="E12" s="92"/>
      <c r="F12" s="103" t="s">
        <v>32</v>
      </c>
      <c r="G12" s="104">
        <v>0</v>
      </c>
      <c r="H12" s="104">
        <v>0</v>
      </c>
      <c r="I12" s="103" t="s">
        <v>33</v>
      </c>
      <c r="J12" s="104">
        <v>0</v>
      </c>
      <c r="K12" s="109"/>
      <c r="M12" s="100"/>
      <c r="N12" s="53" t="s">
        <v>188</v>
      </c>
      <c r="O12" s="101">
        <v>0</v>
      </c>
      <c r="P12" s="101">
        <v>0</v>
      </c>
      <c r="Q12" s="101">
        <f t="shared" si="0"/>
        <v>0</v>
      </c>
      <c r="R12" s="120"/>
    </row>
    <row r="13" spans="2:18" ht="14.4" x14ac:dyDescent="0.3">
      <c r="B13" s="142" t="s">
        <v>184</v>
      </c>
      <c r="C13" s="99"/>
      <c r="E13" s="92"/>
      <c r="F13" s="103" t="s">
        <v>35</v>
      </c>
      <c r="G13" s="104">
        <v>0</v>
      </c>
      <c r="H13" s="104">
        <v>0</v>
      </c>
      <c r="I13" s="103" t="s">
        <v>36</v>
      </c>
      <c r="J13" s="104">
        <v>0</v>
      </c>
      <c r="K13" s="109"/>
      <c r="M13" s="100"/>
      <c r="N13" s="53" t="s">
        <v>191</v>
      </c>
      <c r="O13" s="101">
        <v>0</v>
      </c>
      <c r="P13" s="101">
        <v>0</v>
      </c>
      <c r="Q13" s="101">
        <f t="shared" si="0"/>
        <v>0</v>
      </c>
      <c r="R13" s="120"/>
    </row>
    <row r="14" spans="2:18" ht="14.4" x14ac:dyDescent="0.3">
      <c r="B14" s="131" t="s">
        <v>2</v>
      </c>
      <c r="C14" s="99"/>
      <c r="E14" s="92"/>
      <c r="F14" s="105" t="s">
        <v>38</v>
      </c>
      <c r="G14" s="106">
        <f>SUM(G5:G13)</f>
        <v>0</v>
      </c>
      <c r="H14" s="106">
        <f>SUM(H5:H13)</f>
        <v>0</v>
      </c>
      <c r="I14" s="103" t="s">
        <v>39</v>
      </c>
      <c r="J14" s="104">
        <v>0</v>
      </c>
      <c r="K14" s="109"/>
      <c r="M14" s="100"/>
      <c r="N14" s="145" t="s">
        <v>192</v>
      </c>
      <c r="O14" s="195">
        <f>SUM(O5:O13)</f>
        <v>0</v>
      </c>
      <c r="P14" s="195">
        <f>SUM(P5:P13)</f>
        <v>0</v>
      </c>
      <c r="Q14" s="195">
        <f t="shared" si="0"/>
        <v>0</v>
      </c>
      <c r="R14" s="120"/>
    </row>
    <row r="15" spans="2:18" ht="14.4" x14ac:dyDescent="0.3">
      <c r="B15" s="131" t="s">
        <v>3</v>
      </c>
      <c r="C15" s="99"/>
      <c r="E15" s="92"/>
      <c r="F15" s="92"/>
      <c r="G15" s="94"/>
      <c r="H15" s="95"/>
      <c r="I15" s="103" t="s">
        <v>40</v>
      </c>
      <c r="J15" s="104">
        <v>0</v>
      </c>
      <c r="K15" s="109"/>
      <c r="M15" s="100"/>
      <c r="N15" s="53" t="s">
        <v>37</v>
      </c>
      <c r="O15" s="101">
        <v>0</v>
      </c>
      <c r="P15" s="101">
        <v>0</v>
      </c>
      <c r="Q15" s="101">
        <f t="shared" si="0"/>
        <v>0</v>
      </c>
      <c r="R15" s="120"/>
    </row>
    <row r="16" spans="2:18" ht="14.4" x14ac:dyDescent="0.3">
      <c r="B16" s="131" t="s">
        <v>8</v>
      </c>
      <c r="C16" s="132"/>
      <c r="E16" s="92"/>
      <c r="F16" s="93"/>
      <c r="G16" s="93"/>
      <c r="H16" s="93"/>
      <c r="I16" s="103" t="s">
        <v>42</v>
      </c>
      <c r="J16" s="104">
        <v>0</v>
      </c>
      <c r="K16" s="119"/>
      <c r="M16" s="100"/>
      <c r="N16" s="53" t="s">
        <v>193</v>
      </c>
      <c r="O16" s="101">
        <v>0</v>
      </c>
      <c r="P16" s="101">
        <v>0</v>
      </c>
      <c r="Q16" s="101">
        <f t="shared" si="0"/>
        <v>0</v>
      </c>
      <c r="R16" s="120"/>
    </row>
    <row r="17" spans="1:27" ht="14.4" x14ac:dyDescent="0.3">
      <c r="B17" s="131" t="s">
        <v>11</v>
      </c>
      <c r="C17" s="99"/>
      <c r="E17" s="92"/>
      <c r="F17" s="93"/>
      <c r="G17" s="93"/>
      <c r="H17" s="93"/>
      <c r="I17" s="103" t="s">
        <v>44</v>
      </c>
      <c r="J17" s="104">
        <v>0</v>
      </c>
      <c r="K17" s="119"/>
      <c r="M17" s="100"/>
      <c r="N17" s="53" t="s">
        <v>43</v>
      </c>
      <c r="O17" s="101">
        <v>0</v>
      </c>
      <c r="P17" s="101">
        <v>0</v>
      </c>
      <c r="Q17" s="101">
        <f t="shared" si="0"/>
        <v>0</v>
      </c>
      <c r="R17" s="120"/>
    </row>
    <row r="18" spans="1:27" ht="14.4" x14ac:dyDescent="0.3">
      <c r="B18" s="131" t="s">
        <v>18</v>
      </c>
      <c r="C18" s="159"/>
      <c r="E18" s="92"/>
      <c r="F18" s="93"/>
      <c r="G18" s="93"/>
      <c r="H18" s="93"/>
      <c r="I18" s="103" t="s">
        <v>45</v>
      </c>
      <c r="J18" s="104">
        <v>0</v>
      </c>
      <c r="K18" s="119"/>
      <c r="M18" s="100"/>
      <c r="N18" s="145" t="s">
        <v>194</v>
      </c>
      <c r="O18" s="195">
        <f>SUM(O15:O17)</f>
        <v>0</v>
      </c>
      <c r="P18" s="195">
        <f>SUM(P15:P17)</f>
        <v>0</v>
      </c>
      <c r="Q18" s="195">
        <f t="shared" si="0"/>
        <v>0</v>
      </c>
      <c r="R18" s="120"/>
    </row>
    <row r="19" spans="1:27" ht="14.4" x14ac:dyDescent="0.3">
      <c r="B19" s="131" t="s">
        <v>22</v>
      </c>
      <c r="C19" s="99"/>
      <c r="E19" s="92"/>
      <c r="F19" s="93"/>
      <c r="G19" s="93"/>
      <c r="H19" s="93"/>
      <c r="I19" s="103" t="s">
        <v>47</v>
      </c>
      <c r="J19" s="104">
        <v>0</v>
      </c>
      <c r="K19" s="119"/>
      <c r="M19" s="100"/>
      <c r="N19" s="53" t="s">
        <v>41</v>
      </c>
      <c r="O19" s="101">
        <v>0</v>
      </c>
      <c r="P19" s="101">
        <v>0</v>
      </c>
      <c r="Q19" s="101">
        <f t="shared" si="0"/>
        <v>0</v>
      </c>
      <c r="R19" s="120"/>
    </row>
    <row r="20" spans="1:27" ht="14.4" x14ac:dyDescent="0.3">
      <c r="B20" s="134" t="s">
        <v>174</v>
      </c>
      <c r="C20" s="135"/>
      <c r="E20" s="92"/>
      <c r="F20" s="93"/>
      <c r="G20" s="93"/>
      <c r="H20" s="93"/>
      <c r="I20" s="103" t="s">
        <v>49</v>
      </c>
      <c r="J20" s="104">
        <v>0</v>
      </c>
      <c r="K20" s="119"/>
      <c r="L20" s="5"/>
      <c r="M20" s="122"/>
      <c r="N20" s="53" t="s">
        <v>181</v>
      </c>
      <c r="O20" s="101">
        <v>0</v>
      </c>
      <c r="P20" s="101">
        <v>0</v>
      </c>
      <c r="Q20" s="101">
        <f t="shared" si="0"/>
        <v>0</v>
      </c>
      <c r="R20" s="120"/>
    </row>
    <row r="21" spans="1:27" ht="15.75" customHeight="1" x14ac:dyDescent="0.3">
      <c r="B21" s="136" t="s">
        <v>161</v>
      </c>
      <c r="C21" s="135"/>
      <c r="E21" s="92"/>
      <c r="F21" s="93"/>
      <c r="G21" s="93"/>
      <c r="H21" s="93"/>
      <c r="I21" s="103" t="s">
        <v>51</v>
      </c>
      <c r="J21" s="104">
        <v>0</v>
      </c>
      <c r="K21" s="119"/>
      <c r="L21" s="5"/>
      <c r="M21" s="122"/>
      <c r="N21" s="53" t="s">
        <v>46</v>
      </c>
      <c r="O21" s="101">
        <v>0</v>
      </c>
      <c r="P21" s="101">
        <v>0</v>
      </c>
      <c r="Q21" s="101">
        <f t="shared" si="0"/>
        <v>0</v>
      </c>
      <c r="R21" s="120"/>
    </row>
    <row r="22" spans="1:27" ht="15.75" customHeight="1" x14ac:dyDescent="0.3">
      <c r="B22" s="134" t="s">
        <v>162</v>
      </c>
      <c r="C22" s="135"/>
      <c r="E22" s="92"/>
      <c r="F22" s="93"/>
      <c r="G22" s="93"/>
      <c r="H22" s="93"/>
      <c r="I22" s="103" t="s">
        <v>35</v>
      </c>
      <c r="J22" s="104">
        <v>0</v>
      </c>
      <c r="K22" s="92"/>
      <c r="M22" s="145"/>
      <c r="N22" s="145" t="s">
        <v>195</v>
      </c>
      <c r="O22" s="195">
        <f>SUM(O19:O21)</f>
        <v>0</v>
      </c>
      <c r="P22" s="195">
        <f>SUM(P19:P21)</f>
        <v>0</v>
      </c>
      <c r="Q22" s="195">
        <f t="shared" si="0"/>
        <v>0</v>
      </c>
      <c r="R22" s="120"/>
    </row>
    <row r="23" spans="1:27" ht="15.75" customHeight="1" x14ac:dyDescent="0.3">
      <c r="B23" s="138"/>
      <c r="C23" s="138"/>
      <c r="E23" s="92"/>
      <c r="F23" s="93"/>
      <c r="G23" s="93"/>
      <c r="H23" s="93"/>
      <c r="I23" s="107" t="s">
        <v>38</v>
      </c>
      <c r="J23" s="108">
        <f>SUM(J5:J22)</f>
        <v>0</v>
      </c>
      <c r="K23" s="92"/>
      <c r="M23" s="145"/>
      <c r="N23" s="53" t="s">
        <v>48</v>
      </c>
      <c r="O23" s="101">
        <v>0</v>
      </c>
      <c r="P23" s="101">
        <v>0</v>
      </c>
      <c r="Q23" s="101">
        <f t="shared" si="0"/>
        <v>0</v>
      </c>
      <c r="R23" s="120"/>
    </row>
    <row r="24" spans="1:27" ht="15" customHeight="1" x14ac:dyDescent="0.3">
      <c r="A24" s="6"/>
      <c r="B24" s="142" t="s">
        <v>163</v>
      </c>
      <c r="C24" s="99"/>
      <c r="D24" s="6"/>
      <c r="E24" s="92"/>
      <c r="F24" s="92"/>
      <c r="G24" s="94"/>
      <c r="H24" s="95"/>
      <c r="I24" s="92"/>
      <c r="J24" s="92"/>
      <c r="K24" s="92"/>
      <c r="L24" s="6"/>
      <c r="M24" s="123"/>
      <c r="N24" s="53" t="s">
        <v>50</v>
      </c>
      <c r="O24" s="101">
        <v>0</v>
      </c>
      <c r="P24" s="101">
        <v>0</v>
      </c>
      <c r="Q24" s="101">
        <f t="shared" si="0"/>
        <v>0</v>
      </c>
      <c r="R24" s="158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 x14ac:dyDescent="0.3">
      <c r="B25" s="133" t="s">
        <v>164</v>
      </c>
      <c r="C25" s="99"/>
      <c r="E25" s="109"/>
      <c r="F25" s="165" t="s">
        <v>52</v>
      </c>
      <c r="G25" s="166"/>
      <c r="H25" s="166"/>
      <c r="I25" s="166"/>
      <c r="J25" s="110">
        <f>SUM(G14:H14)-J23</f>
        <v>0</v>
      </c>
      <c r="K25" s="109"/>
      <c r="M25" s="123"/>
      <c r="N25" s="53" t="s">
        <v>185</v>
      </c>
      <c r="O25" s="101">
        <v>0</v>
      </c>
      <c r="P25" s="101">
        <v>0</v>
      </c>
      <c r="Q25" s="101">
        <f t="shared" si="0"/>
        <v>0</v>
      </c>
      <c r="R25" s="120"/>
    </row>
    <row r="26" spans="1:27" ht="15.75" customHeight="1" x14ac:dyDescent="0.3">
      <c r="B26" s="134" t="s">
        <v>178</v>
      </c>
      <c r="C26" s="135"/>
      <c r="E26" s="92"/>
      <c r="F26" s="92"/>
      <c r="G26" s="94"/>
      <c r="H26" s="95"/>
      <c r="I26" s="92"/>
      <c r="J26" s="92"/>
      <c r="K26" s="92"/>
      <c r="M26" s="123"/>
      <c r="N26" s="145" t="s">
        <v>197</v>
      </c>
      <c r="O26" s="195">
        <f>SUM(O23:O25)</f>
        <v>0</v>
      </c>
      <c r="P26" s="195">
        <f>SUM(P23:P25)</f>
        <v>0</v>
      </c>
      <c r="Q26" s="195">
        <f t="shared" ref="Q26" si="1">SUM(O26:P26)</f>
        <v>0</v>
      </c>
      <c r="R26" s="120"/>
    </row>
    <row r="27" spans="1:27" ht="15.75" customHeight="1" x14ac:dyDescent="0.3">
      <c r="B27" s="134" t="s">
        <v>179</v>
      </c>
      <c r="C27" s="135"/>
      <c r="E27" s="92"/>
      <c r="F27" s="92"/>
      <c r="G27" s="94"/>
      <c r="H27" s="95"/>
      <c r="I27" s="92"/>
      <c r="J27" s="92"/>
      <c r="K27" s="92"/>
      <c r="M27" s="123"/>
      <c r="N27" s="196" t="s">
        <v>38</v>
      </c>
      <c r="O27" s="197">
        <f>O14+O18+O22+O26</f>
        <v>0</v>
      </c>
      <c r="P27" s="197">
        <f t="shared" ref="P27:Q27" si="2">P14+P18+P22+P26</f>
        <v>0</v>
      </c>
      <c r="Q27" s="197">
        <f t="shared" si="2"/>
        <v>0</v>
      </c>
      <c r="R27" s="120"/>
    </row>
    <row r="28" spans="1:27" ht="15.75" customHeight="1" x14ac:dyDescent="0.35">
      <c r="B28" s="134" t="s">
        <v>180</v>
      </c>
      <c r="C28" s="135"/>
      <c r="E28" s="92"/>
      <c r="F28" s="163" t="s">
        <v>53</v>
      </c>
      <c r="G28" s="164"/>
      <c r="H28" s="95"/>
      <c r="I28" s="173" t="s">
        <v>54</v>
      </c>
      <c r="J28" s="174"/>
      <c r="K28" s="92"/>
      <c r="M28" s="100"/>
      <c r="N28" s="138"/>
      <c r="O28" s="144"/>
      <c r="P28" s="144"/>
      <c r="Q28" s="144"/>
      <c r="R28" s="120"/>
    </row>
    <row r="29" spans="1:27" ht="15.75" customHeight="1" x14ac:dyDescent="0.35">
      <c r="B29" s="138"/>
      <c r="C29" s="138"/>
      <c r="E29" s="92"/>
      <c r="F29" s="103" t="s">
        <v>55</v>
      </c>
      <c r="G29" s="112">
        <v>0</v>
      </c>
      <c r="H29" s="95"/>
      <c r="I29" s="113" t="s">
        <v>56</v>
      </c>
      <c r="J29" s="114">
        <v>0</v>
      </c>
      <c r="K29" s="92"/>
      <c r="M29" s="145"/>
      <c r="N29" s="162" t="s">
        <v>60</v>
      </c>
      <c r="O29" s="162"/>
      <c r="P29" s="162"/>
      <c r="Q29" s="144"/>
      <c r="R29" s="93"/>
    </row>
    <row r="30" spans="1:27" ht="15.75" customHeight="1" x14ac:dyDescent="0.3">
      <c r="B30" s="143" t="s">
        <v>168</v>
      </c>
      <c r="C30" s="137"/>
      <c r="E30" s="92"/>
      <c r="F30" s="103" t="s">
        <v>34</v>
      </c>
      <c r="G30" s="112">
        <v>0</v>
      </c>
      <c r="H30" s="95"/>
      <c r="I30" s="113" t="s">
        <v>57</v>
      </c>
      <c r="J30" s="114">
        <v>0</v>
      </c>
      <c r="K30" s="92"/>
      <c r="M30" s="138"/>
      <c r="N30" s="138"/>
      <c r="O30" s="138"/>
      <c r="P30" s="138"/>
      <c r="Q30" s="138"/>
      <c r="R30" s="138"/>
    </row>
    <row r="31" spans="1:27" ht="15.75" customHeight="1" x14ac:dyDescent="0.3">
      <c r="B31" s="134" t="s">
        <v>202</v>
      </c>
      <c r="C31" s="135"/>
      <c r="E31" s="92"/>
      <c r="F31" s="113" t="s">
        <v>58</v>
      </c>
      <c r="G31" s="112">
        <v>0</v>
      </c>
      <c r="H31" s="95"/>
      <c r="I31" s="113" t="s">
        <v>59</v>
      </c>
      <c r="J31" s="114">
        <v>0</v>
      </c>
      <c r="K31" s="92"/>
      <c r="M31" s="92"/>
      <c r="N31" s="124" t="s">
        <v>64</v>
      </c>
      <c r="O31" s="124" t="s">
        <v>7</v>
      </c>
      <c r="P31" s="124"/>
      <c r="Q31" s="124"/>
      <c r="R31" s="93"/>
    </row>
    <row r="32" spans="1:27" ht="15.75" customHeight="1" x14ac:dyDescent="0.3">
      <c r="B32" s="134" t="s">
        <v>200</v>
      </c>
      <c r="C32" s="99"/>
      <c r="E32" s="92"/>
      <c r="F32" s="103" t="s">
        <v>61</v>
      </c>
      <c r="G32" s="112">
        <v>0</v>
      </c>
      <c r="H32" s="95"/>
      <c r="I32" s="113" t="s">
        <v>62</v>
      </c>
      <c r="J32" s="114">
        <v>0</v>
      </c>
      <c r="K32" s="92"/>
      <c r="M32" s="92"/>
      <c r="N32" s="53" t="s">
        <v>67</v>
      </c>
      <c r="O32" s="101">
        <v>0</v>
      </c>
      <c r="P32" s="101"/>
      <c r="Q32" s="101"/>
      <c r="R32" s="120"/>
    </row>
    <row r="33" spans="2:19" ht="15.75" customHeight="1" x14ac:dyDescent="0.3">
      <c r="B33" s="200" t="s">
        <v>201</v>
      </c>
      <c r="C33" s="141"/>
      <c r="E33" s="92"/>
      <c r="F33" s="103" t="s">
        <v>72</v>
      </c>
      <c r="G33" s="112">
        <v>0</v>
      </c>
      <c r="H33" s="95"/>
      <c r="I33" s="113" t="s">
        <v>63</v>
      </c>
      <c r="J33" s="114">
        <v>0</v>
      </c>
      <c r="K33" s="92"/>
      <c r="M33" s="92"/>
      <c r="N33" s="125" t="s">
        <v>68</v>
      </c>
      <c r="O33" s="101">
        <v>0</v>
      </c>
      <c r="P33" s="101"/>
      <c r="Q33" s="101"/>
      <c r="R33" s="120"/>
    </row>
    <row r="34" spans="2:19" ht="15.75" customHeight="1" x14ac:dyDescent="0.3">
      <c r="B34" s="138"/>
      <c r="C34" s="138"/>
      <c r="E34" s="92"/>
      <c r="F34" s="103" t="s">
        <v>72</v>
      </c>
      <c r="G34" s="112">
        <v>0</v>
      </c>
      <c r="H34" s="95"/>
      <c r="I34" s="113" t="s">
        <v>66</v>
      </c>
      <c r="J34" s="114">
        <v>0</v>
      </c>
      <c r="K34" s="92"/>
      <c r="M34" s="92"/>
      <c r="N34" s="53" t="s">
        <v>69</v>
      </c>
      <c r="O34" s="101">
        <v>0</v>
      </c>
      <c r="P34" s="101"/>
      <c r="Q34" s="101"/>
      <c r="R34" s="120"/>
    </row>
    <row r="35" spans="2:19" ht="14.4" x14ac:dyDescent="0.3">
      <c r="B35" s="138"/>
      <c r="C35" s="138"/>
      <c r="E35" s="92"/>
      <c r="F35" s="115" t="s">
        <v>65</v>
      </c>
      <c r="G35" s="116">
        <f>SUM(G29:G34)</f>
        <v>0</v>
      </c>
      <c r="H35" s="95"/>
      <c r="I35" s="111" t="s">
        <v>38</v>
      </c>
      <c r="J35" s="117">
        <f>SUM(J29:J34)</f>
        <v>0</v>
      </c>
      <c r="K35" s="92"/>
      <c r="M35" s="92"/>
      <c r="N35" s="53" t="s">
        <v>71</v>
      </c>
      <c r="O35" s="101">
        <v>0</v>
      </c>
      <c r="P35" s="101"/>
      <c r="Q35" s="101"/>
      <c r="R35" s="120"/>
    </row>
    <row r="36" spans="2:19" ht="15.75" customHeight="1" x14ac:dyDescent="0.3">
      <c r="B36" s="93"/>
      <c r="C36" s="99"/>
      <c r="E36" s="92"/>
      <c r="F36" s="92"/>
      <c r="G36" s="94"/>
      <c r="H36" s="95"/>
      <c r="I36" s="95"/>
      <c r="J36" s="95"/>
      <c r="K36" s="92"/>
      <c r="M36" s="92"/>
      <c r="N36" s="53" t="s">
        <v>72</v>
      </c>
      <c r="O36" s="101">
        <v>0</v>
      </c>
      <c r="P36" s="101"/>
      <c r="Q36" s="101"/>
      <c r="R36" s="120"/>
    </row>
    <row r="37" spans="2:19" ht="18" customHeight="1" x14ac:dyDescent="0.3">
      <c r="B37" s="93"/>
      <c r="C37" s="99"/>
      <c r="E37" s="92"/>
      <c r="F37" s="92"/>
      <c r="G37" s="94"/>
      <c r="H37" s="95"/>
      <c r="I37" s="95"/>
      <c r="J37" s="95"/>
      <c r="K37" s="92"/>
      <c r="M37" s="92"/>
      <c r="N37" s="138"/>
      <c r="O37" s="138"/>
      <c r="P37" s="138"/>
      <c r="Q37" s="138"/>
      <c r="R37" s="120"/>
    </row>
    <row r="38" spans="2:19" ht="15.75" customHeight="1" x14ac:dyDescent="0.3">
      <c r="B38" s="138"/>
      <c r="C38" s="138"/>
      <c r="E38" s="92"/>
      <c r="F38" s="165" t="s">
        <v>70</v>
      </c>
      <c r="G38" s="165"/>
      <c r="H38" s="165"/>
      <c r="I38" s="165"/>
      <c r="J38" s="110">
        <f>J25-J35</f>
        <v>0</v>
      </c>
      <c r="K38" s="92"/>
      <c r="M38" s="92"/>
      <c r="N38" s="124" t="s">
        <v>175</v>
      </c>
      <c r="O38" s="124" t="s">
        <v>169</v>
      </c>
      <c r="P38" s="124" t="s">
        <v>170</v>
      </c>
      <c r="Q38" s="124"/>
      <c r="R38" s="120"/>
    </row>
    <row r="39" spans="2:19" ht="15.75" customHeight="1" x14ac:dyDescent="0.3">
      <c r="B39" s="138"/>
      <c r="C39" s="138"/>
      <c r="E39" s="92"/>
      <c r="F39" s="96"/>
      <c r="G39" s="97"/>
      <c r="H39" s="95"/>
      <c r="I39" s="92"/>
      <c r="J39" s="92"/>
      <c r="K39" s="92"/>
      <c r="M39" s="92"/>
      <c r="N39" s="126" t="s">
        <v>171</v>
      </c>
      <c r="O39" s="127"/>
      <c r="P39" s="128"/>
      <c r="Q39" s="128"/>
      <c r="R39" s="120"/>
    </row>
    <row r="40" spans="2:19" ht="15.75" customHeight="1" x14ac:dyDescent="0.3">
      <c r="B40" s="138"/>
      <c r="C40" s="138"/>
      <c r="E40" s="92"/>
      <c r="F40" s="165" t="s">
        <v>198</v>
      </c>
      <c r="G40" s="165"/>
      <c r="H40" s="165"/>
      <c r="I40" s="165"/>
      <c r="J40" s="110">
        <f>J25-J35-G35</f>
        <v>0</v>
      </c>
      <c r="K40" s="92"/>
      <c r="M40" s="92"/>
      <c r="N40" s="126" t="s">
        <v>172</v>
      </c>
      <c r="O40" s="128"/>
      <c r="P40" s="128"/>
      <c r="Q40" s="128"/>
      <c r="R40" s="120"/>
    </row>
    <row r="41" spans="2:19" ht="15.75" customHeight="1" x14ac:dyDescent="0.3">
      <c r="B41" s="138"/>
      <c r="C41" s="138"/>
      <c r="E41" s="92"/>
      <c r="F41" s="92"/>
      <c r="G41" s="92"/>
      <c r="H41" s="92"/>
      <c r="I41" s="92"/>
      <c r="J41" s="92"/>
      <c r="K41" s="92"/>
      <c r="L41" s="147"/>
      <c r="M41" s="92"/>
      <c r="N41" s="126" t="s">
        <v>176</v>
      </c>
      <c r="O41" s="128"/>
      <c r="P41" s="128"/>
      <c r="Q41" s="128"/>
      <c r="R41" s="120"/>
      <c r="S41" s="147"/>
    </row>
    <row r="42" spans="2:19" ht="15.75" customHeight="1" x14ac:dyDescent="0.3">
      <c r="B42" s="138"/>
      <c r="C42" s="138"/>
      <c r="E42" s="92"/>
      <c r="F42" s="199" t="s">
        <v>199</v>
      </c>
      <c r="G42" s="199"/>
      <c r="H42" s="199"/>
      <c r="I42" s="199"/>
      <c r="J42" s="198">
        <v>0</v>
      </c>
      <c r="K42" s="92"/>
      <c r="L42" s="147"/>
      <c r="M42" s="92"/>
      <c r="N42" s="126" t="s">
        <v>177</v>
      </c>
      <c r="O42" s="129"/>
      <c r="P42" s="128"/>
      <c r="Q42" s="128"/>
      <c r="R42" s="120"/>
      <c r="S42" s="147"/>
    </row>
    <row r="43" spans="2:19" ht="15.75" customHeight="1" x14ac:dyDescent="0.3">
      <c r="B43" s="138"/>
      <c r="C43" s="138"/>
      <c r="E43" s="92"/>
      <c r="F43" s="199"/>
      <c r="G43" s="199"/>
      <c r="H43" s="199"/>
      <c r="I43" s="199"/>
      <c r="J43" s="198"/>
      <c r="K43" s="92"/>
      <c r="L43" s="147"/>
      <c r="M43" s="92"/>
      <c r="N43" s="126" t="s">
        <v>173</v>
      </c>
      <c r="O43" s="130"/>
      <c r="P43" s="128"/>
      <c r="Q43" s="128"/>
      <c r="R43" s="120"/>
      <c r="S43" s="147"/>
    </row>
    <row r="44" spans="2:19" ht="15.75" customHeight="1" x14ac:dyDescent="0.3">
      <c r="B44" s="138"/>
      <c r="C44" s="138"/>
      <c r="E44" s="92"/>
      <c r="F44" s="96"/>
      <c r="G44" s="97"/>
      <c r="H44" s="95"/>
      <c r="I44" s="92"/>
      <c r="J44" s="92"/>
      <c r="K44" s="92"/>
      <c r="L44" s="147"/>
      <c r="M44" s="92"/>
      <c r="N44" s="126" t="s">
        <v>182</v>
      </c>
      <c r="O44" s="130"/>
      <c r="P44" s="128"/>
      <c r="Q44" s="128"/>
      <c r="R44" s="120"/>
      <c r="S44" s="147"/>
    </row>
    <row r="45" spans="2:19" ht="15.75" customHeight="1" x14ac:dyDescent="0.3">
      <c r="B45" s="134"/>
      <c r="C45" s="135"/>
      <c r="E45" s="92"/>
      <c r="F45" s="96"/>
      <c r="G45" s="97"/>
      <c r="H45" s="98" t="s">
        <v>73</v>
      </c>
      <c r="I45" s="92"/>
      <c r="J45" s="92"/>
      <c r="K45" s="92"/>
      <c r="L45" s="147"/>
      <c r="M45" s="92"/>
      <c r="N45" s="138"/>
      <c r="O45" s="138"/>
      <c r="P45" s="138"/>
      <c r="Q45" s="138"/>
      <c r="R45" s="120"/>
      <c r="S45" s="147"/>
    </row>
    <row r="46" spans="2:19" ht="15.75" customHeight="1" x14ac:dyDescent="0.3">
      <c r="B46" s="147"/>
      <c r="C46" s="147"/>
      <c r="D46" s="147"/>
      <c r="E46" s="148"/>
      <c r="F46" s="149"/>
      <c r="G46" s="150"/>
      <c r="H46" s="151"/>
      <c r="I46" s="148"/>
      <c r="J46" s="148"/>
      <c r="K46" s="148"/>
      <c r="L46" s="146"/>
      <c r="M46" s="146"/>
      <c r="N46" s="146"/>
      <c r="O46" s="146"/>
      <c r="P46" s="146"/>
      <c r="Q46" s="146"/>
      <c r="R46" s="146"/>
      <c r="S46" s="147"/>
    </row>
    <row r="47" spans="2:19" ht="15.75" customHeight="1" x14ac:dyDescent="0.3">
      <c r="B47" s="147"/>
      <c r="C47" s="147"/>
      <c r="D47" s="147"/>
      <c r="E47" s="148"/>
      <c r="F47" s="149"/>
      <c r="G47" s="150"/>
      <c r="H47" s="151"/>
      <c r="I47" s="148"/>
      <c r="J47" s="148"/>
      <c r="K47" s="148"/>
      <c r="L47" s="147"/>
      <c r="M47" s="147"/>
      <c r="N47" s="147"/>
      <c r="O47" s="147"/>
      <c r="P47" s="147"/>
      <c r="Q47" s="147"/>
      <c r="R47" s="147"/>
      <c r="S47" s="147"/>
    </row>
    <row r="48" spans="2:19" ht="15.75" customHeight="1" x14ac:dyDescent="0.3">
      <c r="B48" s="147"/>
      <c r="C48" s="147"/>
      <c r="D48" s="147"/>
      <c r="E48" s="148"/>
      <c r="F48" s="149"/>
      <c r="G48" s="150"/>
      <c r="H48" s="151"/>
      <c r="I48" s="146"/>
      <c r="J48" s="146"/>
      <c r="K48" s="146"/>
      <c r="N48" s="147"/>
      <c r="O48" s="147"/>
      <c r="P48" s="147"/>
      <c r="Q48" s="147"/>
    </row>
    <row r="49" spans="2:17" ht="15.75" customHeight="1" x14ac:dyDescent="0.3">
      <c r="B49" s="147"/>
      <c r="C49" s="147"/>
      <c r="D49" s="147"/>
      <c r="E49" s="148"/>
      <c r="F49" s="146"/>
      <c r="G49" s="152"/>
      <c r="H49" s="153"/>
      <c r="I49" s="152"/>
      <c r="J49" s="152"/>
      <c r="K49" s="148"/>
      <c r="N49" s="147"/>
      <c r="O49" s="147"/>
      <c r="P49" s="147"/>
      <c r="Q49" s="147"/>
    </row>
    <row r="50" spans="2:17" ht="15.75" customHeight="1" x14ac:dyDescent="0.3">
      <c r="B50" s="146"/>
      <c r="C50" s="154"/>
      <c r="D50" s="147"/>
      <c r="E50" s="146"/>
      <c r="F50" s="146"/>
      <c r="G50" s="155"/>
      <c r="H50" s="154"/>
      <c r="I50" s="146"/>
      <c r="J50" s="146"/>
      <c r="K50" s="146"/>
      <c r="N50" s="147"/>
      <c r="O50" s="147"/>
      <c r="P50" s="147"/>
      <c r="Q50" s="147"/>
    </row>
    <row r="51" spans="2:17" ht="15.75" customHeight="1" x14ac:dyDescent="0.3">
      <c r="B51" s="146"/>
      <c r="C51" s="154"/>
      <c r="D51" s="147"/>
      <c r="E51" s="146"/>
      <c r="F51" s="152"/>
      <c r="G51" s="152"/>
      <c r="H51" s="147"/>
      <c r="I51" s="152"/>
      <c r="J51" s="146"/>
      <c r="K51" s="146"/>
      <c r="N51" s="147"/>
      <c r="O51" s="147"/>
      <c r="P51" s="147"/>
      <c r="Q51" s="147"/>
    </row>
    <row r="52" spans="2:17" ht="15.75" customHeight="1" x14ac:dyDescent="0.3">
      <c r="B52" s="147"/>
      <c r="C52" s="156"/>
      <c r="D52" s="147"/>
      <c r="E52" s="147"/>
      <c r="F52" s="147"/>
      <c r="G52" s="157"/>
      <c r="H52" s="156"/>
      <c r="I52" s="147"/>
      <c r="J52" s="147"/>
      <c r="K52" s="147"/>
      <c r="N52" s="146"/>
      <c r="O52" s="146"/>
      <c r="P52" s="146"/>
      <c r="Q52" s="146"/>
    </row>
    <row r="53" spans="2:17" ht="15.75" customHeight="1" x14ac:dyDescent="0.3">
      <c r="C53" s="1"/>
      <c r="G53" s="3"/>
      <c r="H53" s="1"/>
      <c r="N53" s="147"/>
      <c r="O53" s="147"/>
      <c r="P53" s="147"/>
      <c r="Q53" s="147"/>
    </row>
    <row r="54" spans="2:17" ht="15.75" customHeight="1" x14ac:dyDescent="0.3">
      <c r="C54" s="1"/>
      <c r="G54" s="3"/>
      <c r="H54" s="1"/>
    </row>
    <row r="55" spans="2:17" ht="15.75" customHeight="1" x14ac:dyDescent="0.3">
      <c r="C55" s="1"/>
      <c r="G55" s="3"/>
      <c r="H55" s="1"/>
    </row>
    <row r="56" spans="2:17" ht="15.75" customHeight="1" x14ac:dyDescent="0.3">
      <c r="C56" s="1"/>
      <c r="G56" s="3"/>
      <c r="H56" s="1"/>
    </row>
    <row r="57" spans="2:17" ht="15.75" customHeight="1" x14ac:dyDescent="0.3">
      <c r="C57" s="1"/>
      <c r="G57" s="3"/>
      <c r="H57" s="1"/>
    </row>
    <row r="58" spans="2:17" ht="15.75" customHeight="1" x14ac:dyDescent="0.3">
      <c r="C58" s="1"/>
      <c r="G58" s="3"/>
      <c r="H58" s="1"/>
    </row>
    <row r="59" spans="2:17" ht="15.75" customHeight="1" x14ac:dyDescent="0.3">
      <c r="C59" s="1"/>
      <c r="G59" s="3"/>
      <c r="H59" s="1"/>
    </row>
    <row r="60" spans="2:17" ht="15.75" customHeight="1" x14ac:dyDescent="0.3">
      <c r="C60" s="1"/>
      <c r="G60" s="3"/>
      <c r="H60" s="1"/>
    </row>
    <row r="61" spans="2:17" ht="15.75" customHeight="1" x14ac:dyDescent="0.3">
      <c r="C61" s="1"/>
      <c r="G61" s="3"/>
      <c r="H61" s="1"/>
    </row>
    <row r="62" spans="2:17" ht="15.75" customHeight="1" x14ac:dyDescent="0.3">
      <c r="C62" s="1"/>
      <c r="G62" s="3"/>
      <c r="H62" s="1"/>
    </row>
    <row r="63" spans="2:17" ht="15.75" customHeight="1" x14ac:dyDescent="0.3">
      <c r="C63" s="1"/>
      <c r="G63" s="3"/>
      <c r="H63" s="1"/>
    </row>
    <row r="64" spans="2:17" ht="15.75" customHeight="1" x14ac:dyDescent="0.3">
      <c r="C64" s="1"/>
      <c r="G64" s="3"/>
      <c r="H64" s="1"/>
    </row>
    <row r="65" spans="3:8" ht="15.75" customHeight="1" x14ac:dyDescent="0.3">
      <c r="C65" s="1"/>
      <c r="G65" s="3"/>
      <c r="H65" s="1"/>
    </row>
    <row r="66" spans="3:8" ht="15.75" customHeight="1" x14ac:dyDescent="0.3">
      <c r="C66" s="1"/>
      <c r="G66" s="3"/>
      <c r="H66" s="1"/>
    </row>
    <row r="67" spans="3:8" ht="15.75" customHeight="1" x14ac:dyDescent="0.3">
      <c r="C67" s="1"/>
      <c r="G67" s="3"/>
      <c r="H67" s="1"/>
    </row>
    <row r="68" spans="3:8" ht="15.75" customHeight="1" x14ac:dyDescent="0.3">
      <c r="C68" s="1"/>
      <c r="G68" s="3"/>
      <c r="H68" s="1"/>
    </row>
    <row r="69" spans="3:8" ht="15.75" customHeight="1" x14ac:dyDescent="0.3">
      <c r="C69" s="1"/>
      <c r="G69" s="3"/>
      <c r="H69" s="1"/>
    </row>
    <row r="70" spans="3:8" ht="15.75" customHeight="1" x14ac:dyDescent="0.3">
      <c r="C70" s="1"/>
      <c r="G70" s="3"/>
      <c r="H70" s="1"/>
    </row>
    <row r="71" spans="3:8" ht="15.75" customHeight="1" x14ac:dyDescent="0.3">
      <c r="C71" s="1"/>
      <c r="G71" s="3"/>
      <c r="H71" s="1"/>
    </row>
    <row r="72" spans="3:8" ht="15.75" customHeight="1" x14ac:dyDescent="0.3">
      <c r="C72" s="1"/>
      <c r="G72" s="3"/>
      <c r="H72" s="1"/>
    </row>
    <row r="73" spans="3:8" ht="15.75" customHeight="1" x14ac:dyDescent="0.3">
      <c r="C73" s="1"/>
      <c r="G73" s="3"/>
      <c r="H73" s="1"/>
    </row>
    <row r="74" spans="3:8" ht="15.75" customHeight="1" x14ac:dyDescent="0.3">
      <c r="C74" s="1"/>
      <c r="G74" s="3"/>
      <c r="H74" s="1"/>
    </row>
    <row r="75" spans="3:8" ht="15.75" customHeight="1" x14ac:dyDescent="0.3">
      <c r="C75" s="1"/>
      <c r="G75" s="3"/>
      <c r="H75" s="1"/>
    </row>
    <row r="76" spans="3:8" ht="15.75" customHeight="1" x14ac:dyDescent="0.3">
      <c r="C76" s="1"/>
      <c r="G76" s="3"/>
      <c r="H76" s="1"/>
    </row>
    <row r="77" spans="3:8" ht="15.75" customHeight="1" x14ac:dyDescent="0.3">
      <c r="C77" s="1"/>
      <c r="G77" s="3"/>
      <c r="H77" s="1"/>
    </row>
    <row r="78" spans="3:8" ht="15.75" customHeight="1" x14ac:dyDescent="0.3">
      <c r="C78" s="1"/>
      <c r="G78" s="3"/>
      <c r="H78" s="1"/>
    </row>
    <row r="79" spans="3:8" ht="15.75" customHeight="1" x14ac:dyDescent="0.3">
      <c r="C79" s="1"/>
      <c r="G79" s="3"/>
      <c r="H79" s="1"/>
    </row>
    <row r="80" spans="3:8" ht="15.75" customHeight="1" x14ac:dyDescent="0.3">
      <c r="C80" s="1"/>
      <c r="G80" s="3"/>
      <c r="H80" s="1"/>
    </row>
    <row r="81" spans="3:8" ht="15.75" customHeight="1" x14ac:dyDescent="0.3">
      <c r="C81" s="1"/>
      <c r="G81" s="3"/>
      <c r="H81" s="1"/>
    </row>
    <row r="82" spans="3:8" ht="15.75" customHeight="1" x14ac:dyDescent="0.3">
      <c r="C82" s="1"/>
      <c r="G82" s="3"/>
      <c r="H82" s="1"/>
    </row>
    <row r="83" spans="3:8" ht="15.75" customHeight="1" x14ac:dyDescent="0.3">
      <c r="C83" s="1"/>
      <c r="G83" s="3"/>
      <c r="H83" s="1"/>
    </row>
    <row r="84" spans="3:8" ht="15.75" customHeight="1" x14ac:dyDescent="0.3">
      <c r="C84" s="1"/>
      <c r="G84" s="3"/>
      <c r="H84" s="1"/>
    </row>
    <row r="85" spans="3:8" ht="15.75" customHeight="1" x14ac:dyDescent="0.3">
      <c r="C85" s="1"/>
      <c r="G85" s="3"/>
      <c r="H85" s="1"/>
    </row>
    <row r="86" spans="3:8" ht="15.75" customHeight="1" x14ac:dyDescent="0.3">
      <c r="C86" s="1"/>
      <c r="G86" s="3"/>
      <c r="H86" s="1"/>
    </row>
    <row r="87" spans="3:8" ht="15.75" customHeight="1" x14ac:dyDescent="0.3">
      <c r="C87" s="1"/>
      <c r="G87" s="3"/>
      <c r="H87" s="1"/>
    </row>
    <row r="88" spans="3:8" ht="15.75" customHeight="1" x14ac:dyDescent="0.3">
      <c r="C88" s="1"/>
      <c r="G88" s="3"/>
      <c r="H88" s="1"/>
    </row>
    <row r="89" spans="3:8" ht="15.75" customHeight="1" x14ac:dyDescent="0.3">
      <c r="C89" s="1"/>
      <c r="G89" s="3"/>
      <c r="H89" s="1"/>
    </row>
    <row r="90" spans="3:8" ht="15.75" customHeight="1" x14ac:dyDescent="0.3">
      <c r="C90" s="1"/>
      <c r="G90" s="3"/>
      <c r="H90" s="1"/>
    </row>
    <row r="91" spans="3:8" ht="15.75" customHeight="1" x14ac:dyDescent="0.3">
      <c r="C91" s="1"/>
      <c r="G91" s="3"/>
      <c r="H91" s="1"/>
    </row>
    <row r="92" spans="3:8" ht="15.75" customHeight="1" x14ac:dyDescent="0.3">
      <c r="C92" s="1"/>
      <c r="G92" s="3"/>
      <c r="H92" s="1"/>
    </row>
    <row r="93" spans="3:8" ht="15.75" customHeight="1" x14ac:dyDescent="0.3">
      <c r="C93" s="1"/>
      <c r="G93" s="3"/>
      <c r="H93" s="1"/>
    </row>
    <row r="94" spans="3:8" ht="15.75" customHeight="1" x14ac:dyDescent="0.3">
      <c r="C94" s="1"/>
      <c r="G94" s="3"/>
      <c r="H94" s="1"/>
    </row>
    <row r="95" spans="3:8" ht="15.75" customHeight="1" x14ac:dyDescent="0.3">
      <c r="C95" s="1"/>
      <c r="G95" s="3"/>
      <c r="H95" s="1"/>
    </row>
    <row r="96" spans="3:8" ht="15.75" customHeight="1" x14ac:dyDescent="0.3">
      <c r="C96" s="1"/>
      <c r="G96" s="3"/>
      <c r="H96" s="1"/>
    </row>
    <row r="97" spans="3:8" ht="15.75" customHeight="1" x14ac:dyDescent="0.3">
      <c r="C97" s="1"/>
      <c r="G97" s="3"/>
      <c r="H97" s="1"/>
    </row>
    <row r="98" spans="3:8" ht="15.75" customHeight="1" x14ac:dyDescent="0.3">
      <c r="C98" s="1"/>
      <c r="G98" s="3"/>
      <c r="H98" s="1"/>
    </row>
    <row r="99" spans="3:8" ht="15.75" customHeight="1" x14ac:dyDescent="0.3">
      <c r="C99" s="1"/>
      <c r="G99" s="3"/>
      <c r="H99" s="1"/>
    </row>
    <row r="100" spans="3:8" ht="15.75" customHeight="1" x14ac:dyDescent="0.3">
      <c r="C100" s="1"/>
      <c r="G100" s="3"/>
      <c r="H100" s="1"/>
    </row>
    <row r="101" spans="3:8" ht="15.75" customHeight="1" x14ac:dyDescent="0.3">
      <c r="C101" s="1"/>
      <c r="G101" s="3"/>
      <c r="H101" s="1"/>
    </row>
    <row r="102" spans="3:8" ht="15.75" customHeight="1" x14ac:dyDescent="0.3">
      <c r="C102" s="1"/>
      <c r="G102" s="3"/>
      <c r="H102" s="1"/>
    </row>
    <row r="103" spans="3:8" ht="15.75" customHeight="1" x14ac:dyDescent="0.3">
      <c r="C103" s="1"/>
      <c r="G103" s="3"/>
      <c r="H103" s="1"/>
    </row>
    <row r="104" spans="3:8" ht="15.75" customHeight="1" x14ac:dyDescent="0.3">
      <c r="C104" s="1"/>
      <c r="G104" s="3"/>
      <c r="H104" s="1"/>
    </row>
    <row r="105" spans="3:8" ht="15.75" customHeight="1" x14ac:dyDescent="0.3">
      <c r="C105" s="1"/>
      <c r="G105" s="3"/>
      <c r="H105" s="1"/>
    </row>
    <row r="106" spans="3:8" ht="15.75" customHeight="1" x14ac:dyDescent="0.3">
      <c r="C106" s="1"/>
      <c r="G106" s="3"/>
      <c r="H106" s="1"/>
    </row>
    <row r="107" spans="3:8" ht="15.75" customHeight="1" x14ac:dyDescent="0.3">
      <c r="C107" s="1"/>
      <c r="G107" s="3"/>
      <c r="H107" s="1"/>
    </row>
    <row r="108" spans="3:8" ht="15.75" customHeight="1" x14ac:dyDescent="0.3">
      <c r="C108" s="1"/>
      <c r="G108" s="3"/>
      <c r="H108" s="1"/>
    </row>
    <row r="109" spans="3:8" ht="15.75" customHeight="1" x14ac:dyDescent="0.3">
      <c r="C109" s="1"/>
      <c r="G109" s="3"/>
      <c r="H109" s="1"/>
    </row>
    <row r="110" spans="3:8" ht="15.75" customHeight="1" x14ac:dyDescent="0.3">
      <c r="C110" s="1"/>
      <c r="G110" s="3"/>
      <c r="H110" s="1"/>
    </row>
    <row r="111" spans="3:8" ht="15.75" customHeight="1" x14ac:dyDescent="0.3">
      <c r="C111" s="1"/>
      <c r="G111" s="3"/>
      <c r="H111" s="1"/>
    </row>
    <row r="112" spans="3:8" ht="15.75" customHeight="1" x14ac:dyDescent="0.3">
      <c r="C112" s="1"/>
      <c r="G112" s="3"/>
      <c r="H112" s="1"/>
    </row>
    <row r="113" spans="3:8" ht="15.75" customHeight="1" x14ac:dyDescent="0.3">
      <c r="C113" s="1"/>
      <c r="G113" s="3"/>
      <c r="H113" s="1"/>
    </row>
    <row r="114" spans="3:8" ht="15.75" customHeight="1" x14ac:dyDescent="0.3">
      <c r="C114" s="1"/>
      <c r="G114" s="3"/>
      <c r="H114" s="1"/>
    </row>
    <row r="115" spans="3:8" ht="15.75" customHeight="1" x14ac:dyDescent="0.3">
      <c r="C115" s="1"/>
      <c r="G115" s="3"/>
      <c r="H115" s="1"/>
    </row>
    <row r="116" spans="3:8" ht="15.75" customHeight="1" x14ac:dyDescent="0.3">
      <c r="C116" s="1"/>
      <c r="G116" s="3"/>
      <c r="H116" s="1"/>
    </row>
    <row r="117" spans="3:8" ht="15.75" customHeight="1" x14ac:dyDescent="0.3">
      <c r="C117" s="1"/>
      <c r="G117" s="3"/>
      <c r="H117" s="1"/>
    </row>
    <row r="118" spans="3:8" ht="15.75" customHeight="1" x14ac:dyDescent="0.3">
      <c r="C118" s="1"/>
      <c r="G118" s="3"/>
      <c r="H118" s="1"/>
    </row>
    <row r="119" spans="3:8" ht="15.75" customHeight="1" x14ac:dyDescent="0.3">
      <c r="C119" s="1"/>
      <c r="G119" s="3"/>
      <c r="H119" s="1"/>
    </row>
    <row r="120" spans="3:8" ht="15.75" customHeight="1" x14ac:dyDescent="0.3">
      <c r="C120" s="1"/>
      <c r="G120" s="3"/>
      <c r="H120" s="1"/>
    </row>
    <row r="121" spans="3:8" ht="15.75" customHeight="1" x14ac:dyDescent="0.3">
      <c r="C121" s="1"/>
      <c r="G121" s="3"/>
      <c r="H121" s="1"/>
    </row>
    <row r="122" spans="3:8" ht="15.75" customHeight="1" x14ac:dyDescent="0.3">
      <c r="C122" s="1"/>
      <c r="G122" s="3"/>
      <c r="H122" s="1"/>
    </row>
    <row r="123" spans="3:8" ht="15.75" customHeight="1" x14ac:dyDescent="0.3">
      <c r="C123" s="1"/>
      <c r="G123" s="3"/>
      <c r="H123" s="1"/>
    </row>
    <row r="124" spans="3:8" ht="15.75" customHeight="1" x14ac:dyDescent="0.3">
      <c r="C124" s="1"/>
      <c r="G124" s="3"/>
      <c r="H124" s="1"/>
    </row>
    <row r="125" spans="3:8" ht="15.75" customHeight="1" x14ac:dyDescent="0.3">
      <c r="C125" s="1"/>
      <c r="G125" s="3"/>
      <c r="H125" s="1"/>
    </row>
    <row r="126" spans="3:8" ht="15.75" customHeight="1" x14ac:dyDescent="0.3">
      <c r="C126" s="1"/>
      <c r="G126" s="3"/>
      <c r="H126" s="1"/>
    </row>
    <row r="127" spans="3:8" ht="15.75" customHeight="1" x14ac:dyDescent="0.3">
      <c r="C127" s="1"/>
      <c r="G127" s="3"/>
      <c r="H127" s="1"/>
    </row>
    <row r="128" spans="3:8" ht="15.75" customHeight="1" x14ac:dyDescent="0.3">
      <c r="C128" s="1"/>
      <c r="G128" s="3"/>
      <c r="H128" s="1"/>
    </row>
    <row r="129" spans="3:8" ht="15.75" customHeight="1" x14ac:dyDescent="0.3">
      <c r="C129" s="1"/>
      <c r="G129" s="3"/>
      <c r="H129" s="1"/>
    </row>
    <row r="130" spans="3:8" ht="15.75" customHeight="1" x14ac:dyDescent="0.3">
      <c r="C130" s="1"/>
      <c r="G130" s="3"/>
      <c r="H130" s="1"/>
    </row>
    <row r="131" spans="3:8" ht="15.75" customHeight="1" x14ac:dyDescent="0.3">
      <c r="C131" s="1"/>
      <c r="G131" s="3"/>
      <c r="H131" s="1"/>
    </row>
    <row r="132" spans="3:8" ht="15.75" customHeight="1" x14ac:dyDescent="0.3">
      <c r="C132" s="1"/>
      <c r="G132" s="3"/>
      <c r="H132" s="1"/>
    </row>
    <row r="133" spans="3:8" ht="15.75" customHeight="1" x14ac:dyDescent="0.3">
      <c r="C133" s="1"/>
      <c r="G133" s="3"/>
      <c r="H133" s="1"/>
    </row>
    <row r="134" spans="3:8" ht="15.75" customHeight="1" x14ac:dyDescent="0.3">
      <c r="C134" s="1"/>
      <c r="G134" s="3"/>
      <c r="H134" s="1"/>
    </row>
    <row r="135" spans="3:8" ht="15.75" customHeight="1" x14ac:dyDescent="0.3">
      <c r="C135" s="1"/>
      <c r="G135" s="3"/>
      <c r="H135" s="1"/>
    </row>
    <row r="136" spans="3:8" ht="15.75" customHeight="1" x14ac:dyDescent="0.3">
      <c r="C136" s="1"/>
      <c r="G136" s="3"/>
      <c r="H136" s="1"/>
    </row>
    <row r="137" spans="3:8" ht="15.75" customHeight="1" x14ac:dyDescent="0.3">
      <c r="C137" s="1"/>
      <c r="G137" s="3"/>
      <c r="H137" s="1"/>
    </row>
    <row r="138" spans="3:8" ht="15.75" customHeight="1" x14ac:dyDescent="0.3">
      <c r="C138" s="1"/>
      <c r="G138" s="3"/>
      <c r="H138" s="1"/>
    </row>
    <row r="139" spans="3:8" ht="15.75" customHeight="1" x14ac:dyDescent="0.3">
      <c r="C139" s="1"/>
      <c r="G139" s="3"/>
      <c r="H139" s="1"/>
    </row>
    <row r="140" spans="3:8" ht="15.75" customHeight="1" x14ac:dyDescent="0.3">
      <c r="C140" s="1"/>
      <c r="G140" s="3"/>
      <c r="H140" s="1"/>
    </row>
    <row r="141" spans="3:8" ht="15.75" customHeight="1" x14ac:dyDescent="0.3">
      <c r="C141" s="1"/>
      <c r="G141" s="3"/>
      <c r="H141" s="1"/>
    </row>
    <row r="142" spans="3:8" ht="15.75" customHeight="1" x14ac:dyDescent="0.3">
      <c r="C142" s="1"/>
      <c r="G142" s="3"/>
      <c r="H142" s="1"/>
    </row>
    <row r="143" spans="3:8" ht="15.75" customHeight="1" x14ac:dyDescent="0.3">
      <c r="C143" s="1"/>
      <c r="G143" s="3"/>
      <c r="H143" s="1"/>
    </row>
    <row r="144" spans="3:8" ht="15.75" customHeight="1" x14ac:dyDescent="0.3">
      <c r="C144" s="1"/>
      <c r="G144" s="3"/>
      <c r="H144" s="1"/>
    </row>
    <row r="145" spans="3:8" ht="15.75" customHeight="1" x14ac:dyDescent="0.3">
      <c r="C145" s="1"/>
      <c r="G145" s="3"/>
      <c r="H145" s="1"/>
    </row>
    <row r="146" spans="3:8" ht="15.75" customHeight="1" x14ac:dyDescent="0.3">
      <c r="C146" s="1"/>
      <c r="G146" s="3"/>
      <c r="H146" s="1"/>
    </row>
    <row r="147" spans="3:8" ht="15.75" customHeight="1" x14ac:dyDescent="0.3">
      <c r="C147" s="1"/>
      <c r="G147" s="3"/>
      <c r="H147" s="1"/>
    </row>
    <row r="148" spans="3:8" ht="15.75" customHeight="1" x14ac:dyDescent="0.3">
      <c r="C148" s="1"/>
      <c r="G148" s="3"/>
      <c r="H148" s="1"/>
    </row>
    <row r="149" spans="3:8" ht="15.75" customHeight="1" x14ac:dyDescent="0.3">
      <c r="C149" s="1"/>
      <c r="G149" s="3"/>
      <c r="H149" s="1"/>
    </row>
    <row r="150" spans="3:8" ht="15.75" customHeight="1" x14ac:dyDescent="0.3">
      <c r="C150" s="1"/>
      <c r="G150" s="3"/>
      <c r="H150" s="1"/>
    </row>
    <row r="151" spans="3:8" ht="15.75" customHeight="1" x14ac:dyDescent="0.3">
      <c r="C151" s="1"/>
      <c r="G151" s="3"/>
      <c r="H151" s="1"/>
    </row>
    <row r="152" spans="3:8" ht="15.75" customHeight="1" x14ac:dyDescent="0.3">
      <c r="C152" s="1"/>
      <c r="G152" s="3"/>
      <c r="H152" s="1"/>
    </row>
    <row r="153" spans="3:8" ht="15.75" customHeight="1" x14ac:dyDescent="0.3">
      <c r="C153" s="1"/>
      <c r="G153" s="3"/>
      <c r="H153" s="1"/>
    </row>
    <row r="154" spans="3:8" ht="15.75" customHeight="1" x14ac:dyDescent="0.3">
      <c r="C154" s="1"/>
      <c r="G154" s="3"/>
      <c r="H154" s="1"/>
    </row>
    <row r="155" spans="3:8" ht="15.75" customHeight="1" x14ac:dyDescent="0.3">
      <c r="C155" s="1"/>
      <c r="G155" s="3"/>
      <c r="H155" s="1"/>
    </row>
    <row r="156" spans="3:8" ht="15.75" customHeight="1" x14ac:dyDescent="0.3">
      <c r="C156" s="1"/>
      <c r="G156" s="3"/>
      <c r="H156" s="1"/>
    </row>
    <row r="157" spans="3:8" ht="15.75" customHeight="1" x14ac:dyDescent="0.3">
      <c r="C157" s="1"/>
      <c r="G157" s="3"/>
      <c r="H157" s="1"/>
    </row>
    <row r="158" spans="3:8" ht="15.75" customHeight="1" x14ac:dyDescent="0.3">
      <c r="C158" s="1"/>
      <c r="G158" s="3"/>
      <c r="H158" s="1"/>
    </row>
    <row r="159" spans="3:8" ht="15.75" customHeight="1" x14ac:dyDescent="0.3">
      <c r="C159" s="1"/>
      <c r="G159" s="3"/>
      <c r="H159" s="1"/>
    </row>
    <row r="160" spans="3:8" ht="15.75" customHeight="1" x14ac:dyDescent="0.3">
      <c r="C160" s="1"/>
      <c r="G160" s="3"/>
      <c r="H160" s="1"/>
    </row>
    <row r="161" spans="3:8" ht="15.75" customHeight="1" x14ac:dyDescent="0.3">
      <c r="C161" s="1"/>
      <c r="G161" s="3"/>
      <c r="H161" s="1"/>
    </row>
    <row r="162" spans="3:8" ht="15.75" customHeight="1" x14ac:dyDescent="0.3">
      <c r="C162" s="1"/>
      <c r="G162" s="3"/>
      <c r="H162" s="1"/>
    </row>
    <row r="163" spans="3:8" ht="15.75" customHeight="1" x14ac:dyDescent="0.3">
      <c r="C163" s="1"/>
      <c r="G163" s="3"/>
      <c r="H163" s="1"/>
    </row>
    <row r="164" spans="3:8" ht="15.75" customHeight="1" x14ac:dyDescent="0.3">
      <c r="C164" s="1"/>
      <c r="G164" s="3"/>
      <c r="H164" s="1"/>
    </row>
    <row r="165" spans="3:8" ht="15.75" customHeight="1" x14ac:dyDescent="0.3">
      <c r="C165" s="1"/>
      <c r="G165" s="3"/>
      <c r="H165" s="1"/>
    </row>
    <row r="166" spans="3:8" ht="15.75" customHeight="1" x14ac:dyDescent="0.3">
      <c r="C166" s="1"/>
      <c r="G166" s="3"/>
      <c r="H166" s="1"/>
    </row>
    <row r="167" spans="3:8" ht="15.75" customHeight="1" x14ac:dyDescent="0.3">
      <c r="C167" s="1"/>
      <c r="G167" s="3"/>
      <c r="H167" s="1"/>
    </row>
    <row r="168" spans="3:8" ht="15.75" customHeight="1" x14ac:dyDescent="0.3">
      <c r="C168" s="1"/>
      <c r="G168" s="3"/>
      <c r="H168" s="1"/>
    </row>
    <row r="169" spans="3:8" ht="15.75" customHeight="1" x14ac:dyDescent="0.3">
      <c r="C169" s="1"/>
      <c r="G169" s="3"/>
      <c r="H169" s="1"/>
    </row>
    <row r="170" spans="3:8" ht="15.75" customHeight="1" x14ac:dyDescent="0.3">
      <c r="C170" s="1"/>
      <c r="G170" s="3"/>
      <c r="H170" s="1"/>
    </row>
    <row r="171" spans="3:8" ht="15.75" customHeight="1" x14ac:dyDescent="0.3">
      <c r="C171" s="1"/>
      <c r="G171" s="3"/>
      <c r="H171" s="1"/>
    </row>
    <row r="172" spans="3:8" ht="15.75" customHeight="1" x14ac:dyDescent="0.3">
      <c r="C172" s="1"/>
      <c r="G172" s="3"/>
      <c r="H172" s="1"/>
    </row>
    <row r="173" spans="3:8" ht="15.75" customHeight="1" x14ac:dyDescent="0.3">
      <c r="C173" s="1"/>
      <c r="G173" s="3"/>
      <c r="H173" s="1"/>
    </row>
    <row r="174" spans="3:8" ht="15.75" customHeight="1" x14ac:dyDescent="0.3">
      <c r="C174" s="1"/>
      <c r="G174" s="3"/>
      <c r="H174" s="1"/>
    </row>
    <row r="175" spans="3:8" ht="15.75" customHeight="1" x14ac:dyDescent="0.3">
      <c r="C175" s="1"/>
      <c r="G175" s="3"/>
      <c r="H175" s="1"/>
    </row>
    <row r="176" spans="3:8" ht="15.75" customHeight="1" x14ac:dyDescent="0.3">
      <c r="C176" s="1"/>
      <c r="G176" s="3"/>
      <c r="H176" s="1"/>
    </row>
    <row r="177" spans="3:8" ht="15.75" customHeight="1" x14ac:dyDescent="0.3">
      <c r="C177" s="1"/>
      <c r="G177" s="3"/>
      <c r="H177" s="1"/>
    </row>
    <row r="178" spans="3:8" ht="15.75" customHeight="1" x14ac:dyDescent="0.3">
      <c r="C178" s="1"/>
      <c r="G178" s="3"/>
      <c r="H178" s="1"/>
    </row>
    <row r="179" spans="3:8" ht="15.75" customHeight="1" x14ac:dyDescent="0.3">
      <c r="C179" s="1"/>
      <c r="G179" s="3"/>
      <c r="H179" s="1"/>
    </row>
    <row r="180" spans="3:8" ht="15.75" customHeight="1" x14ac:dyDescent="0.3">
      <c r="C180" s="1"/>
      <c r="G180" s="3"/>
      <c r="H180" s="1"/>
    </row>
    <row r="181" spans="3:8" ht="15.75" customHeight="1" x14ac:dyDescent="0.3">
      <c r="C181" s="1"/>
      <c r="G181" s="3"/>
      <c r="H181" s="1"/>
    </row>
    <row r="182" spans="3:8" ht="15.75" customHeight="1" x14ac:dyDescent="0.3">
      <c r="C182" s="1"/>
      <c r="G182" s="3"/>
      <c r="H182" s="1"/>
    </row>
    <row r="183" spans="3:8" ht="15.75" customHeight="1" x14ac:dyDescent="0.3">
      <c r="C183" s="1"/>
      <c r="G183" s="3"/>
      <c r="H183" s="1"/>
    </row>
    <row r="184" spans="3:8" ht="15.75" customHeight="1" x14ac:dyDescent="0.3">
      <c r="C184" s="1"/>
      <c r="G184" s="3"/>
      <c r="H184" s="1"/>
    </row>
    <row r="185" spans="3:8" ht="15.75" customHeight="1" x14ac:dyDescent="0.3">
      <c r="C185" s="1"/>
      <c r="G185" s="3"/>
      <c r="H185" s="1"/>
    </row>
    <row r="186" spans="3:8" ht="15.75" customHeight="1" x14ac:dyDescent="0.3">
      <c r="C186" s="1"/>
      <c r="G186" s="3"/>
      <c r="H186" s="1"/>
    </row>
    <row r="187" spans="3:8" ht="15.75" customHeight="1" x14ac:dyDescent="0.3">
      <c r="C187" s="1"/>
      <c r="G187" s="3"/>
      <c r="H187" s="1"/>
    </row>
    <row r="188" spans="3:8" ht="15.75" customHeight="1" x14ac:dyDescent="0.3">
      <c r="C188" s="1"/>
      <c r="G188" s="3"/>
      <c r="H188" s="1"/>
    </row>
    <row r="189" spans="3:8" ht="15.75" customHeight="1" x14ac:dyDescent="0.3">
      <c r="C189" s="1"/>
      <c r="G189" s="3"/>
      <c r="H189" s="1"/>
    </row>
    <row r="190" spans="3:8" ht="15.75" customHeight="1" x14ac:dyDescent="0.3">
      <c r="C190" s="1"/>
      <c r="G190" s="3"/>
      <c r="H190" s="1"/>
    </row>
    <row r="191" spans="3:8" ht="15.75" customHeight="1" x14ac:dyDescent="0.3">
      <c r="C191" s="1"/>
      <c r="G191" s="3"/>
      <c r="H191" s="1"/>
    </row>
    <row r="192" spans="3:8" ht="15.75" customHeight="1" x14ac:dyDescent="0.3">
      <c r="C192" s="1"/>
      <c r="G192" s="3"/>
      <c r="H192" s="1"/>
    </row>
    <row r="193" spans="3:8" ht="15.75" customHeight="1" x14ac:dyDescent="0.3">
      <c r="C193" s="1"/>
      <c r="G193" s="3"/>
      <c r="H193" s="1"/>
    </row>
    <row r="194" spans="3:8" ht="15.75" customHeight="1" x14ac:dyDescent="0.3">
      <c r="C194" s="1"/>
      <c r="G194" s="3"/>
      <c r="H194" s="1"/>
    </row>
    <row r="195" spans="3:8" ht="15.75" customHeight="1" x14ac:dyDescent="0.3">
      <c r="C195" s="1"/>
      <c r="G195" s="3"/>
      <c r="H195" s="1"/>
    </row>
    <row r="196" spans="3:8" ht="15.75" customHeight="1" x14ac:dyDescent="0.3">
      <c r="C196" s="1"/>
      <c r="G196" s="3"/>
      <c r="H196" s="1"/>
    </row>
    <row r="197" spans="3:8" ht="15.75" customHeight="1" x14ac:dyDescent="0.3">
      <c r="C197" s="1"/>
      <c r="G197" s="3"/>
      <c r="H197" s="1"/>
    </row>
    <row r="198" spans="3:8" ht="15.75" customHeight="1" x14ac:dyDescent="0.3">
      <c r="C198" s="1"/>
      <c r="G198" s="3"/>
      <c r="H198" s="1"/>
    </row>
    <row r="199" spans="3:8" ht="15.75" customHeight="1" x14ac:dyDescent="0.3">
      <c r="C199" s="1"/>
      <c r="G199" s="3"/>
      <c r="H199" s="1"/>
    </row>
    <row r="200" spans="3:8" ht="15.75" customHeight="1" x14ac:dyDescent="0.3">
      <c r="C200" s="1"/>
      <c r="G200" s="3"/>
      <c r="H200" s="1"/>
    </row>
    <row r="201" spans="3:8" ht="15.75" customHeight="1" x14ac:dyDescent="0.3">
      <c r="C201" s="1"/>
      <c r="G201" s="3"/>
      <c r="H201" s="1"/>
    </row>
    <row r="202" spans="3:8" ht="15.75" customHeight="1" x14ac:dyDescent="0.3">
      <c r="C202" s="1"/>
      <c r="G202" s="3"/>
      <c r="H202" s="1"/>
    </row>
    <row r="203" spans="3:8" ht="15.75" customHeight="1" x14ac:dyDescent="0.3">
      <c r="C203" s="1"/>
      <c r="G203" s="3"/>
      <c r="H203" s="1"/>
    </row>
    <row r="204" spans="3:8" ht="15.75" customHeight="1" x14ac:dyDescent="0.3">
      <c r="C204" s="1"/>
      <c r="G204" s="3"/>
      <c r="H204" s="1"/>
    </row>
    <row r="205" spans="3:8" ht="15.75" customHeight="1" x14ac:dyDescent="0.3">
      <c r="C205" s="1"/>
      <c r="G205" s="3"/>
      <c r="H205" s="1"/>
    </row>
    <row r="206" spans="3:8" ht="15.75" customHeight="1" x14ac:dyDescent="0.3">
      <c r="C206" s="1"/>
      <c r="G206" s="3"/>
      <c r="H206" s="1"/>
    </row>
    <row r="207" spans="3:8" ht="15.75" customHeight="1" x14ac:dyDescent="0.3">
      <c r="C207" s="1"/>
      <c r="G207" s="3"/>
      <c r="H207" s="1"/>
    </row>
    <row r="208" spans="3:8" ht="15.75" customHeight="1" x14ac:dyDescent="0.3">
      <c r="C208" s="1"/>
      <c r="G208" s="3"/>
      <c r="H208" s="1"/>
    </row>
    <row r="209" spans="3:8" ht="15.75" customHeight="1" x14ac:dyDescent="0.3">
      <c r="C209" s="1"/>
      <c r="G209" s="3"/>
      <c r="H209" s="1"/>
    </row>
    <row r="210" spans="3:8" ht="15.75" customHeight="1" x14ac:dyDescent="0.3">
      <c r="C210" s="1"/>
      <c r="G210" s="3"/>
      <c r="H210" s="1"/>
    </row>
    <row r="211" spans="3:8" ht="15.75" customHeight="1" x14ac:dyDescent="0.3">
      <c r="C211" s="1"/>
      <c r="G211" s="3"/>
      <c r="H211" s="1"/>
    </row>
    <row r="212" spans="3:8" ht="15.75" customHeight="1" x14ac:dyDescent="0.3">
      <c r="C212" s="1"/>
      <c r="G212" s="3"/>
      <c r="H212" s="1"/>
    </row>
    <row r="213" spans="3:8" ht="15.75" customHeight="1" x14ac:dyDescent="0.3">
      <c r="C213" s="1"/>
      <c r="G213" s="3"/>
      <c r="H213" s="1"/>
    </row>
    <row r="214" spans="3:8" ht="15.75" customHeight="1" x14ac:dyDescent="0.3">
      <c r="C214" s="1"/>
      <c r="G214" s="3"/>
      <c r="H214" s="1"/>
    </row>
    <row r="215" spans="3:8" ht="15.75" customHeight="1" x14ac:dyDescent="0.3">
      <c r="C215" s="1"/>
      <c r="G215" s="3"/>
      <c r="H215" s="1"/>
    </row>
    <row r="216" spans="3:8" ht="15.75" customHeight="1" x14ac:dyDescent="0.3">
      <c r="C216" s="1"/>
      <c r="G216" s="3"/>
      <c r="H216" s="1"/>
    </row>
    <row r="217" spans="3:8" ht="15.75" customHeight="1" x14ac:dyDescent="0.3">
      <c r="C217" s="1"/>
      <c r="G217" s="3"/>
      <c r="H217" s="1"/>
    </row>
    <row r="218" spans="3:8" ht="15.75" customHeight="1" x14ac:dyDescent="0.3">
      <c r="C218" s="1"/>
      <c r="G218" s="3"/>
      <c r="H218" s="1"/>
    </row>
    <row r="219" spans="3:8" ht="15.75" customHeight="1" x14ac:dyDescent="0.3">
      <c r="C219" s="1"/>
      <c r="G219" s="3"/>
      <c r="H219" s="1"/>
    </row>
    <row r="220" spans="3:8" ht="15.75" customHeight="1" x14ac:dyDescent="0.3">
      <c r="C220" s="1"/>
      <c r="G220" s="3"/>
      <c r="H220" s="1"/>
    </row>
    <row r="221" spans="3:8" ht="15.75" customHeight="1" x14ac:dyDescent="0.3">
      <c r="C221" s="1"/>
      <c r="G221" s="3"/>
      <c r="H221" s="1"/>
    </row>
    <row r="222" spans="3:8" ht="15.75" customHeight="1" x14ac:dyDescent="0.3">
      <c r="C222" s="1"/>
      <c r="G222" s="3"/>
      <c r="H222" s="1"/>
    </row>
    <row r="223" spans="3:8" ht="15.75" customHeight="1" x14ac:dyDescent="0.3">
      <c r="C223" s="1"/>
      <c r="G223" s="3"/>
      <c r="H223" s="1"/>
    </row>
    <row r="224" spans="3:8" ht="15.75" customHeight="1" x14ac:dyDescent="0.3">
      <c r="C224" s="1"/>
      <c r="G224" s="3"/>
      <c r="H224" s="1"/>
    </row>
    <row r="225" spans="3:8" ht="15.75" customHeight="1" x14ac:dyDescent="0.3">
      <c r="C225" s="1"/>
      <c r="G225" s="3"/>
      <c r="H225" s="1"/>
    </row>
    <row r="226" spans="3:8" ht="15.75" customHeight="1" x14ac:dyDescent="0.3">
      <c r="C226" s="1"/>
      <c r="G226" s="3"/>
      <c r="H226" s="1"/>
    </row>
    <row r="227" spans="3:8" ht="15.75" customHeight="1" x14ac:dyDescent="0.3">
      <c r="C227" s="1"/>
      <c r="G227" s="3"/>
      <c r="H227" s="1"/>
    </row>
    <row r="228" spans="3:8" ht="15.75" customHeight="1" x14ac:dyDescent="0.3">
      <c r="C228" s="1"/>
      <c r="G228" s="3"/>
      <c r="H228" s="1"/>
    </row>
    <row r="229" spans="3:8" ht="15.75" customHeight="1" x14ac:dyDescent="0.3">
      <c r="C229" s="1"/>
      <c r="G229" s="3"/>
      <c r="H229" s="1"/>
    </row>
    <row r="230" spans="3:8" ht="15.75" customHeight="1" x14ac:dyDescent="0.3">
      <c r="C230" s="1"/>
      <c r="G230" s="3"/>
      <c r="H230" s="1"/>
    </row>
    <row r="231" spans="3:8" ht="15.75" customHeight="1" x14ac:dyDescent="0.3">
      <c r="C231" s="1"/>
      <c r="G231" s="3"/>
      <c r="H231" s="1"/>
    </row>
    <row r="232" spans="3:8" ht="15.75" customHeight="1" x14ac:dyDescent="0.3">
      <c r="C232" s="1"/>
      <c r="G232" s="3"/>
      <c r="H232" s="1"/>
    </row>
    <row r="233" spans="3:8" ht="15.75" customHeight="1" x14ac:dyDescent="0.3">
      <c r="C233" s="1"/>
      <c r="G233" s="3"/>
      <c r="H233" s="1"/>
    </row>
    <row r="234" spans="3:8" ht="15.75" customHeight="1" x14ac:dyDescent="0.3">
      <c r="C234" s="1"/>
      <c r="G234" s="3"/>
      <c r="H234" s="1"/>
    </row>
    <row r="235" spans="3:8" ht="15.75" customHeight="1" x14ac:dyDescent="0.3">
      <c r="C235" s="1"/>
      <c r="G235" s="3"/>
      <c r="H235" s="1"/>
    </row>
    <row r="236" spans="3:8" ht="15.75" customHeight="1" x14ac:dyDescent="0.3">
      <c r="C236" s="1"/>
      <c r="G236" s="3"/>
      <c r="H236" s="1"/>
    </row>
    <row r="237" spans="3:8" ht="15.75" customHeight="1" x14ac:dyDescent="0.3">
      <c r="C237" s="1"/>
      <c r="G237" s="3"/>
      <c r="H237" s="1"/>
    </row>
    <row r="238" spans="3:8" ht="15.75" customHeight="1" x14ac:dyDescent="0.3">
      <c r="C238" s="1"/>
      <c r="G238" s="3"/>
      <c r="H238" s="1"/>
    </row>
    <row r="239" spans="3:8" ht="15.75" customHeight="1" x14ac:dyDescent="0.3">
      <c r="C239" s="1"/>
      <c r="G239" s="3"/>
      <c r="H239" s="1"/>
    </row>
    <row r="240" spans="3:8" ht="15.75" customHeight="1" x14ac:dyDescent="0.3">
      <c r="C240" s="1"/>
      <c r="G240" s="3"/>
      <c r="H240" s="1"/>
    </row>
    <row r="241" spans="3:8" ht="15.75" customHeight="1" x14ac:dyDescent="0.3">
      <c r="C241" s="1"/>
      <c r="G241" s="3"/>
      <c r="H241" s="1"/>
    </row>
    <row r="242" spans="3:8" ht="15.75" customHeight="1" x14ac:dyDescent="0.3">
      <c r="C242" s="1"/>
      <c r="G242" s="3"/>
      <c r="H242" s="1"/>
    </row>
    <row r="243" spans="3:8" ht="15.75" customHeight="1" x14ac:dyDescent="0.3">
      <c r="C243" s="1"/>
      <c r="G243" s="3"/>
      <c r="H243" s="1"/>
    </row>
    <row r="244" spans="3:8" ht="15.75" customHeight="1" x14ac:dyDescent="0.3">
      <c r="C244" s="1"/>
      <c r="G244" s="3"/>
      <c r="H244" s="1"/>
    </row>
    <row r="245" spans="3:8" ht="15.75" customHeight="1" x14ac:dyDescent="0.3">
      <c r="C245" s="1"/>
      <c r="G245" s="3"/>
      <c r="H245" s="1"/>
    </row>
    <row r="246" spans="3:8" ht="15.75" customHeight="1" x14ac:dyDescent="0.3">
      <c r="C246" s="1"/>
      <c r="G246" s="3"/>
      <c r="H246" s="1"/>
    </row>
    <row r="247" spans="3:8" ht="15.75" customHeight="1" x14ac:dyDescent="0.3">
      <c r="C247" s="1"/>
      <c r="G247" s="3"/>
      <c r="H247" s="1"/>
    </row>
    <row r="248" spans="3:8" ht="15.75" customHeight="1" x14ac:dyDescent="0.3">
      <c r="C248" s="1"/>
      <c r="G248" s="3"/>
      <c r="H248" s="1"/>
    </row>
    <row r="249" spans="3:8" ht="15.75" customHeight="1" x14ac:dyDescent="0.3">
      <c r="C249" s="1"/>
      <c r="G249" s="3"/>
      <c r="H249" s="1"/>
    </row>
    <row r="250" spans="3:8" ht="15.75" customHeight="1" x14ac:dyDescent="0.3">
      <c r="C250" s="1"/>
      <c r="G250" s="3"/>
      <c r="H250" s="1"/>
    </row>
    <row r="251" spans="3:8" ht="15.75" customHeight="1" x14ac:dyDescent="0.3">
      <c r="C251" s="1"/>
      <c r="G251" s="3"/>
      <c r="H251" s="1"/>
    </row>
    <row r="252" spans="3:8" ht="15.75" customHeight="1" x14ac:dyDescent="0.3">
      <c r="C252" s="1"/>
      <c r="G252" s="3"/>
      <c r="H252" s="1"/>
    </row>
    <row r="253" spans="3:8" ht="15.75" customHeight="1" x14ac:dyDescent="0.3">
      <c r="C253" s="1"/>
      <c r="G253" s="3"/>
      <c r="H253" s="1"/>
    </row>
    <row r="254" spans="3:8" ht="15.75" customHeight="1" x14ac:dyDescent="0.3">
      <c r="C254" s="1"/>
      <c r="G254" s="3"/>
      <c r="H254" s="1"/>
    </row>
    <row r="255" spans="3:8" ht="15.75" customHeight="1" x14ac:dyDescent="0.3">
      <c r="C255" s="1"/>
      <c r="G255" s="3"/>
      <c r="H255" s="1"/>
    </row>
    <row r="256" spans="3:8" ht="15.75" customHeight="1" x14ac:dyDescent="0.3">
      <c r="C256" s="1"/>
      <c r="G256" s="3"/>
      <c r="H256" s="1"/>
    </row>
    <row r="257" spans="3:8" ht="15.75" customHeight="1" x14ac:dyDescent="0.3">
      <c r="C257" s="1"/>
      <c r="G257" s="3"/>
      <c r="H257" s="1"/>
    </row>
    <row r="258" spans="3:8" ht="15.75" customHeight="1" x14ac:dyDescent="0.3">
      <c r="C258" s="1"/>
      <c r="G258" s="3"/>
      <c r="H258" s="1"/>
    </row>
    <row r="259" spans="3:8" ht="15.75" customHeight="1" x14ac:dyDescent="0.3">
      <c r="C259" s="1"/>
      <c r="G259" s="3"/>
      <c r="H259" s="1"/>
    </row>
    <row r="260" spans="3:8" ht="15.75" customHeight="1" x14ac:dyDescent="0.3">
      <c r="C260" s="1"/>
      <c r="G260" s="3"/>
      <c r="H260" s="1"/>
    </row>
    <row r="261" spans="3:8" ht="15.75" customHeight="1" x14ac:dyDescent="0.3">
      <c r="C261" s="1"/>
      <c r="G261" s="3"/>
      <c r="H261" s="1"/>
    </row>
    <row r="262" spans="3:8" ht="15.75" customHeight="1" x14ac:dyDescent="0.3">
      <c r="C262" s="1"/>
      <c r="G262" s="3"/>
      <c r="H262" s="1"/>
    </row>
    <row r="263" spans="3:8" ht="15.75" customHeight="1" x14ac:dyDescent="0.3">
      <c r="C263" s="1"/>
      <c r="G263" s="3"/>
      <c r="H263" s="1"/>
    </row>
    <row r="264" spans="3:8" ht="15.75" customHeight="1" x14ac:dyDescent="0.3">
      <c r="C264" s="1"/>
      <c r="G264" s="3"/>
      <c r="H264" s="1"/>
    </row>
    <row r="265" spans="3:8" ht="15.75" customHeight="1" x14ac:dyDescent="0.3">
      <c r="C265" s="1"/>
      <c r="G265" s="3"/>
      <c r="H265" s="1"/>
    </row>
    <row r="266" spans="3:8" ht="15.75" customHeight="1" x14ac:dyDescent="0.3">
      <c r="C266" s="1"/>
      <c r="G266" s="3"/>
      <c r="H266" s="1"/>
    </row>
    <row r="267" spans="3:8" ht="15.75" customHeight="1" x14ac:dyDescent="0.3">
      <c r="C267" s="1"/>
      <c r="G267" s="3"/>
      <c r="H267" s="1"/>
    </row>
    <row r="268" spans="3:8" ht="15.75" customHeight="1" x14ac:dyDescent="0.3">
      <c r="C268" s="1"/>
      <c r="G268" s="3"/>
      <c r="H268" s="1"/>
    </row>
    <row r="269" spans="3:8" ht="15.75" customHeight="1" x14ac:dyDescent="0.3">
      <c r="C269" s="1"/>
      <c r="G269" s="3"/>
      <c r="H269" s="1"/>
    </row>
    <row r="270" spans="3:8" ht="15.75" customHeight="1" x14ac:dyDescent="0.3">
      <c r="C270" s="1"/>
      <c r="G270" s="3"/>
      <c r="H270" s="1"/>
    </row>
    <row r="271" spans="3:8" ht="15.75" customHeight="1" x14ac:dyDescent="0.3">
      <c r="C271" s="1"/>
      <c r="G271" s="3"/>
      <c r="H271" s="1"/>
    </row>
    <row r="272" spans="3:8" ht="15.75" customHeight="1" x14ac:dyDescent="0.3">
      <c r="C272" s="1"/>
      <c r="G272" s="3"/>
      <c r="H272" s="1"/>
    </row>
    <row r="273" spans="3:8" ht="15.75" customHeight="1" x14ac:dyDescent="0.3">
      <c r="C273" s="1"/>
      <c r="G273" s="3"/>
      <c r="H273" s="1"/>
    </row>
    <row r="274" spans="3:8" ht="15.75" customHeight="1" x14ac:dyDescent="0.3">
      <c r="C274" s="1"/>
      <c r="G274" s="3"/>
      <c r="H274" s="1"/>
    </row>
    <row r="275" spans="3:8" ht="15.75" customHeight="1" x14ac:dyDescent="0.3">
      <c r="C275" s="1"/>
      <c r="G275" s="3"/>
      <c r="H275" s="1"/>
    </row>
    <row r="276" spans="3:8" ht="15.75" customHeight="1" x14ac:dyDescent="0.3">
      <c r="C276" s="1"/>
      <c r="G276" s="3"/>
      <c r="H276" s="1"/>
    </row>
    <row r="277" spans="3:8" ht="15.75" customHeight="1" x14ac:dyDescent="0.3">
      <c r="C277" s="1"/>
      <c r="G277" s="3"/>
      <c r="H277" s="1"/>
    </row>
    <row r="278" spans="3:8" ht="15.75" customHeight="1" x14ac:dyDescent="0.3">
      <c r="C278" s="1"/>
      <c r="G278" s="3"/>
      <c r="H278" s="1"/>
    </row>
    <row r="279" spans="3:8" ht="15.75" customHeight="1" x14ac:dyDescent="0.3">
      <c r="C279" s="1"/>
      <c r="G279" s="3"/>
      <c r="H279" s="1"/>
    </row>
    <row r="280" spans="3:8" ht="15.75" customHeight="1" x14ac:dyDescent="0.3">
      <c r="C280" s="1"/>
      <c r="G280" s="3"/>
      <c r="H280" s="1"/>
    </row>
    <row r="281" spans="3:8" ht="15.75" customHeight="1" x14ac:dyDescent="0.3">
      <c r="C281" s="1"/>
      <c r="G281" s="3"/>
      <c r="H281" s="1"/>
    </row>
    <row r="282" spans="3:8" ht="15.75" customHeight="1" x14ac:dyDescent="0.3">
      <c r="C282" s="1"/>
      <c r="G282" s="3"/>
      <c r="H282" s="1"/>
    </row>
    <row r="283" spans="3:8" ht="15.75" customHeight="1" x14ac:dyDescent="0.3">
      <c r="C283" s="1"/>
      <c r="G283" s="3"/>
      <c r="H283" s="1"/>
    </row>
    <row r="284" spans="3:8" ht="15.75" customHeight="1" x14ac:dyDescent="0.3">
      <c r="C284" s="1"/>
      <c r="G284" s="3"/>
      <c r="H284" s="1"/>
    </row>
    <row r="285" spans="3:8" ht="15.75" customHeight="1" x14ac:dyDescent="0.3">
      <c r="C285" s="1"/>
      <c r="G285" s="3"/>
      <c r="H285" s="1"/>
    </row>
    <row r="286" spans="3:8" ht="15.75" customHeight="1" x14ac:dyDescent="0.3">
      <c r="C286" s="1"/>
      <c r="G286" s="3"/>
      <c r="H286" s="1"/>
    </row>
    <row r="287" spans="3:8" ht="15.75" customHeight="1" x14ac:dyDescent="0.3">
      <c r="C287" s="1"/>
      <c r="G287" s="3"/>
      <c r="H287" s="1"/>
    </row>
    <row r="288" spans="3:8" ht="15.75" customHeight="1" x14ac:dyDescent="0.3">
      <c r="C288" s="1"/>
      <c r="G288" s="3"/>
      <c r="H288" s="1"/>
    </row>
    <row r="289" spans="3:8" ht="15.75" customHeight="1" x14ac:dyDescent="0.3">
      <c r="C289" s="1"/>
      <c r="G289" s="3"/>
      <c r="H289" s="1"/>
    </row>
    <row r="290" spans="3:8" ht="15.75" customHeight="1" x14ac:dyDescent="0.3">
      <c r="C290" s="1"/>
      <c r="G290" s="3"/>
      <c r="H290" s="1"/>
    </row>
    <row r="291" spans="3:8" ht="15.75" customHeight="1" x14ac:dyDescent="0.3">
      <c r="C291" s="1"/>
      <c r="G291" s="3"/>
      <c r="H291" s="1"/>
    </row>
    <row r="292" spans="3:8" ht="15.75" customHeight="1" x14ac:dyDescent="0.3">
      <c r="C292" s="1"/>
      <c r="G292" s="3"/>
      <c r="H292" s="1"/>
    </row>
    <row r="293" spans="3:8" ht="15.75" customHeight="1" x14ac:dyDescent="0.3">
      <c r="C293" s="1"/>
      <c r="G293" s="3"/>
      <c r="H293" s="1"/>
    </row>
    <row r="294" spans="3:8" ht="15.75" customHeight="1" x14ac:dyDescent="0.3">
      <c r="C294" s="1"/>
      <c r="G294" s="3"/>
      <c r="H294" s="1"/>
    </row>
    <row r="295" spans="3:8" ht="15.75" customHeight="1" x14ac:dyDescent="0.3">
      <c r="C295" s="1"/>
      <c r="G295" s="3"/>
      <c r="H295" s="1"/>
    </row>
    <row r="296" spans="3:8" ht="15.75" customHeight="1" x14ac:dyDescent="0.3">
      <c r="C296" s="1"/>
      <c r="G296" s="3"/>
      <c r="H296" s="1"/>
    </row>
    <row r="297" spans="3:8" ht="15.75" customHeight="1" x14ac:dyDescent="0.3">
      <c r="C297" s="1"/>
      <c r="G297" s="3"/>
      <c r="H297" s="1"/>
    </row>
    <row r="298" spans="3:8" ht="15.75" customHeight="1" x14ac:dyDescent="0.3">
      <c r="C298" s="1"/>
      <c r="G298" s="3"/>
      <c r="H298" s="1"/>
    </row>
    <row r="299" spans="3:8" ht="15.75" customHeight="1" x14ac:dyDescent="0.3">
      <c r="C299" s="1"/>
      <c r="G299" s="3"/>
      <c r="H299" s="1"/>
    </row>
    <row r="300" spans="3:8" ht="15.75" customHeight="1" x14ac:dyDescent="0.3">
      <c r="C300" s="1"/>
      <c r="G300" s="3"/>
      <c r="H300" s="1"/>
    </row>
    <row r="301" spans="3:8" ht="15.75" customHeight="1" x14ac:dyDescent="0.3">
      <c r="C301" s="1"/>
      <c r="G301" s="3"/>
      <c r="H301" s="1"/>
    </row>
    <row r="302" spans="3:8" ht="15.75" customHeight="1" x14ac:dyDescent="0.3">
      <c r="C302" s="1"/>
      <c r="G302" s="3"/>
      <c r="H302" s="1"/>
    </row>
    <row r="303" spans="3:8" ht="15.75" customHeight="1" x14ac:dyDescent="0.3">
      <c r="C303" s="1"/>
      <c r="G303" s="3"/>
      <c r="H303" s="1"/>
    </row>
    <row r="304" spans="3:8" ht="15.75" customHeight="1" x14ac:dyDescent="0.3">
      <c r="C304" s="1"/>
      <c r="G304" s="3"/>
      <c r="H304" s="1"/>
    </row>
    <row r="305" spans="3:8" ht="15.75" customHeight="1" x14ac:dyDescent="0.3">
      <c r="C305" s="1"/>
      <c r="G305" s="3"/>
      <c r="H305" s="1"/>
    </row>
    <row r="306" spans="3:8" ht="15.75" customHeight="1" x14ac:dyDescent="0.3">
      <c r="C306" s="1"/>
      <c r="G306" s="3"/>
      <c r="H306" s="1"/>
    </row>
    <row r="307" spans="3:8" ht="15.75" customHeight="1" x14ac:dyDescent="0.3">
      <c r="C307" s="1"/>
      <c r="G307" s="3"/>
      <c r="H307" s="1"/>
    </row>
    <row r="308" spans="3:8" ht="15.75" customHeight="1" x14ac:dyDescent="0.3">
      <c r="C308" s="1"/>
      <c r="G308" s="3"/>
      <c r="H308" s="1"/>
    </row>
    <row r="309" spans="3:8" ht="15.75" customHeight="1" x14ac:dyDescent="0.3">
      <c r="C309" s="1"/>
      <c r="G309" s="3"/>
      <c r="H309" s="1"/>
    </row>
    <row r="310" spans="3:8" ht="15.75" customHeight="1" x14ac:dyDescent="0.3">
      <c r="C310" s="1"/>
      <c r="G310" s="3"/>
      <c r="H310" s="1"/>
    </row>
    <row r="311" spans="3:8" ht="15.75" customHeight="1" x14ac:dyDescent="0.3">
      <c r="C311" s="1"/>
      <c r="G311" s="3"/>
      <c r="H311" s="1"/>
    </row>
    <row r="312" spans="3:8" ht="15.75" customHeight="1" x14ac:dyDescent="0.3">
      <c r="C312" s="1"/>
      <c r="G312" s="3"/>
      <c r="H312" s="1"/>
    </row>
    <row r="313" spans="3:8" ht="15.75" customHeight="1" x14ac:dyDescent="0.3">
      <c r="C313" s="1"/>
      <c r="G313" s="3"/>
      <c r="H313" s="1"/>
    </row>
    <row r="314" spans="3:8" ht="15.75" customHeight="1" x14ac:dyDescent="0.3">
      <c r="C314" s="1"/>
      <c r="G314" s="3"/>
      <c r="H314" s="1"/>
    </row>
    <row r="315" spans="3:8" ht="15.75" customHeight="1" x14ac:dyDescent="0.3">
      <c r="C315" s="1"/>
      <c r="G315" s="3"/>
      <c r="H315" s="1"/>
    </row>
    <row r="316" spans="3:8" ht="15.75" customHeight="1" x14ac:dyDescent="0.3">
      <c r="C316" s="1"/>
      <c r="G316" s="3"/>
      <c r="H316" s="1"/>
    </row>
    <row r="317" spans="3:8" ht="15.75" customHeight="1" x14ac:dyDescent="0.3">
      <c r="C317" s="1"/>
      <c r="G317" s="3"/>
      <c r="H317" s="1"/>
    </row>
    <row r="318" spans="3:8" ht="15.75" customHeight="1" x14ac:dyDescent="0.3">
      <c r="C318" s="1"/>
      <c r="G318" s="3"/>
      <c r="H318" s="1"/>
    </row>
    <row r="319" spans="3:8" ht="15.75" customHeight="1" x14ac:dyDescent="0.3">
      <c r="C319" s="1"/>
      <c r="G319" s="3"/>
      <c r="H319" s="1"/>
    </row>
    <row r="320" spans="3:8" ht="15.75" customHeight="1" x14ac:dyDescent="0.3">
      <c r="C320" s="1"/>
      <c r="G320" s="3"/>
      <c r="H320" s="1"/>
    </row>
    <row r="321" spans="3:8" ht="15.75" customHeight="1" x14ac:dyDescent="0.3">
      <c r="C321" s="1"/>
      <c r="G321" s="3"/>
      <c r="H321" s="1"/>
    </row>
    <row r="322" spans="3:8" ht="15.75" customHeight="1" x14ac:dyDescent="0.3">
      <c r="C322" s="1"/>
      <c r="G322" s="3"/>
      <c r="H322" s="1"/>
    </row>
    <row r="323" spans="3:8" ht="15.75" customHeight="1" x14ac:dyDescent="0.3">
      <c r="C323" s="1"/>
      <c r="G323" s="3"/>
      <c r="H323" s="1"/>
    </row>
    <row r="324" spans="3:8" ht="15.75" customHeight="1" x14ac:dyDescent="0.3">
      <c r="C324" s="1"/>
      <c r="G324" s="3"/>
      <c r="H324" s="1"/>
    </row>
    <row r="325" spans="3:8" ht="15.75" customHeight="1" x14ac:dyDescent="0.3">
      <c r="C325" s="1"/>
      <c r="G325" s="3"/>
      <c r="H325" s="1"/>
    </row>
    <row r="326" spans="3:8" ht="15.75" customHeight="1" x14ac:dyDescent="0.3">
      <c r="C326" s="1"/>
      <c r="G326" s="3"/>
      <c r="H326" s="1"/>
    </row>
    <row r="327" spans="3:8" ht="15.75" customHeight="1" x14ac:dyDescent="0.3">
      <c r="C327" s="1"/>
      <c r="G327" s="3"/>
      <c r="H327" s="1"/>
    </row>
    <row r="328" spans="3:8" ht="15.75" customHeight="1" x14ac:dyDescent="0.3">
      <c r="C328" s="1"/>
      <c r="G328" s="3"/>
      <c r="H328" s="1"/>
    </row>
    <row r="329" spans="3:8" ht="15.75" customHeight="1" x14ac:dyDescent="0.3">
      <c r="C329" s="1"/>
      <c r="G329" s="3"/>
      <c r="H329" s="1"/>
    </row>
    <row r="330" spans="3:8" ht="15.75" customHeight="1" x14ac:dyDescent="0.3">
      <c r="C330" s="1"/>
      <c r="G330" s="3"/>
      <c r="H330" s="1"/>
    </row>
    <row r="331" spans="3:8" ht="15.75" customHeight="1" x14ac:dyDescent="0.3">
      <c r="C331" s="1"/>
      <c r="G331" s="3"/>
      <c r="H331" s="1"/>
    </row>
    <row r="332" spans="3:8" ht="15.75" customHeight="1" x14ac:dyDescent="0.3">
      <c r="C332" s="1"/>
      <c r="G332" s="3"/>
      <c r="H332" s="1"/>
    </row>
    <row r="333" spans="3:8" ht="15.75" customHeight="1" x14ac:dyDescent="0.3">
      <c r="C333" s="1"/>
      <c r="G333" s="3"/>
      <c r="H333" s="1"/>
    </row>
    <row r="334" spans="3:8" ht="15.75" customHeight="1" x14ac:dyDescent="0.3">
      <c r="C334" s="1"/>
      <c r="G334" s="3"/>
      <c r="H334" s="1"/>
    </row>
    <row r="335" spans="3:8" ht="15.75" customHeight="1" x14ac:dyDescent="0.3">
      <c r="C335" s="1"/>
      <c r="G335" s="3"/>
      <c r="H335" s="1"/>
    </row>
    <row r="336" spans="3:8" ht="15.75" customHeight="1" x14ac:dyDescent="0.3">
      <c r="C336" s="1"/>
      <c r="G336" s="3"/>
      <c r="H336" s="1"/>
    </row>
    <row r="337" spans="3:8" ht="15.75" customHeight="1" x14ac:dyDescent="0.3">
      <c r="C337" s="1"/>
      <c r="G337" s="3"/>
      <c r="H337" s="1"/>
    </row>
    <row r="338" spans="3:8" ht="15.75" customHeight="1" x14ac:dyDescent="0.3">
      <c r="C338" s="1"/>
      <c r="G338" s="3"/>
      <c r="H338" s="1"/>
    </row>
    <row r="339" spans="3:8" ht="15.75" customHeight="1" x14ac:dyDescent="0.3">
      <c r="C339" s="1"/>
      <c r="G339" s="3"/>
      <c r="H339" s="1"/>
    </row>
    <row r="340" spans="3:8" ht="15.75" customHeight="1" x14ac:dyDescent="0.3">
      <c r="C340" s="1"/>
      <c r="G340" s="3"/>
      <c r="H340" s="1"/>
    </row>
    <row r="341" spans="3:8" ht="15.75" customHeight="1" x14ac:dyDescent="0.3">
      <c r="C341" s="1"/>
      <c r="G341" s="3"/>
      <c r="H341" s="1"/>
    </row>
    <row r="342" spans="3:8" ht="15.75" customHeight="1" x14ac:dyDescent="0.3">
      <c r="C342" s="1"/>
      <c r="G342" s="3"/>
      <c r="H342" s="1"/>
    </row>
    <row r="343" spans="3:8" ht="15.75" customHeight="1" x14ac:dyDescent="0.3">
      <c r="C343" s="1"/>
      <c r="G343" s="3"/>
      <c r="H343" s="1"/>
    </row>
    <row r="344" spans="3:8" ht="15.75" customHeight="1" x14ac:dyDescent="0.3">
      <c r="C344" s="1"/>
      <c r="G344" s="3"/>
      <c r="H344" s="1"/>
    </row>
    <row r="345" spans="3:8" ht="15.75" customHeight="1" x14ac:dyDescent="0.3">
      <c r="C345" s="1"/>
      <c r="G345" s="3"/>
      <c r="H345" s="1"/>
    </row>
    <row r="346" spans="3:8" ht="15.75" customHeight="1" x14ac:dyDescent="0.3">
      <c r="C346" s="1"/>
      <c r="G346" s="3"/>
      <c r="H346" s="1"/>
    </row>
    <row r="347" spans="3:8" ht="15.75" customHeight="1" x14ac:dyDescent="0.3">
      <c r="C347" s="1"/>
      <c r="G347" s="3"/>
      <c r="H347" s="1"/>
    </row>
    <row r="348" spans="3:8" ht="15.75" customHeight="1" x14ac:dyDescent="0.3">
      <c r="C348" s="1"/>
      <c r="G348" s="3"/>
      <c r="H348" s="1"/>
    </row>
    <row r="349" spans="3:8" ht="15.75" customHeight="1" x14ac:dyDescent="0.3">
      <c r="C349" s="1"/>
      <c r="G349" s="3"/>
      <c r="H349" s="1"/>
    </row>
    <row r="350" spans="3:8" ht="15.75" customHeight="1" x14ac:dyDescent="0.3">
      <c r="C350" s="1"/>
      <c r="G350" s="3"/>
      <c r="H350" s="1"/>
    </row>
    <row r="351" spans="3:8" ht="15.75" customHeight="1" x14ac:dyDescent="0.3">
      <c r="C351" s="1"/>
      <c r="G351" s="3"/>
      <c r="H351" s="1"/>
    </row>
    <row r="352" spans="3:8" ht="15.75" customHeight="1" x14ac:dyDescent="0.3">
      <c r="C352" s="1"/>
      <c r="G352" s="3"/>
      <c r="H352" s="1"/>
    </row>
    <row r="353" spans="3:8" ht="15.75" customHeight="1" x14ac:dyDescent="0.3">
      <c r="C353" s="1"/>
      <c r="G353" s="3"/>
      <c r="H353" s="1"/>
    </row>
    <row r="354" spans="3:8" ht="15.75" customHeight="1" x14ac:dyDescent="0.3">
      <c r="C354" s="1"/>
      <c r="G354" s="3"/>
      <c r="H354" s="1"/>
    </row>
    <row r="355" spans="3:8" ht="15.75" customHeight="1" x14ac:dyDescent="0.3">
      <c r="C355" s="1"/>
      <c r="G355" s="3"/>
      <c r="H355" s="1"/>
    </row>
    <row r="356" spans="3:8" ht="15.75" customHeight="1" x14ac:dyDescent="0.3">
      <c r="C356" s="1"/>
      <c r="G356" s="3"/>
      <c r="H356" s="1"/>
    </row>
    <row r="357" spans="3:8" ht="15.75" customHeight="1" x14ac:dyDescent="0.3">
      <c r="C357" s="1"/>
      <c r="G357" s="3"/>
      <c r="H357" s="1"/>
    </row>
    <row r="358" spans="3:8" ht="15.75" customHeight="1" x14ac:dyDescent="0.3">
      <c r="C358" s="1"/>
      <c r="G358" s="3"/>
      <c r="H358" s="1"/>
    </row>
    <row r="359" spans="3:8" ht="15.75" customHeight="1" x14ac:dyDescent="0.3">
      <c r="C359" s="1"/>
      <c r="G359" s="3"/>
      <c r="H359" s="1"/>
    </row>
    <row r="360" spans="3:8" ht="15.75" customHeight="1" x14ac:dyDescent="0.3">
      <c r="C360" s="1"/>
      <c r="G360" s="3"/>
      <c r="H360" s="1"/>
    </row>
    <row r="361" spans="3:8" ht="15.75" customHeight="1" x14ac:dyDescent="0.3">
      <c r="C361" s="1"/>
      <c r="G361" s="3"/>
      <c r="H361" s="1"/>
    </row>
    <row r="362" spans="3:8" ht="15.75" customHeight="1" x14ac:dyDescent="0.3">
      <c r="C362" s="1"/>
      <c r="G362" s="3"/>
      <c r="H362" s="1"/>
    </row>
    <row r="363" spans="3:8" ht="15.75" customHeight="1" x14ac:dyDescent="0.3">
      <c r="C363" s="1"/>
      <c r="G363" s="3"/>
      <c r="H363" s="1"/>
    </row>
    <row r="364" spans="3:8" ht="15.75" customHeight="1" x14ac:dyDescent="0.3">
      <c r="C364" s="1"/>
      <c r="G364" s="3"/>
      <c r="H364" s="1"/>
    </row>
    <row r="365" spans="3:8" ht="15.75" customHeight="1" x14ac:dyDescent="0.3">
      <c r="C365" s="1"/>
      <c r="G365" s="3"/>
      <c r="H365" s="1"/>
    </row>
    <row r="366" spans="3:8" ht="15.75" customHeight="1" x14ac:dyDescent="0.3">
      <c r="C366" s="1"/>
      <c r="G366" s="3"/>
      <c r="H366" s="1"/>
    </row>
    <row r="367" spans="3:8" ht="15.75" customHeight="1" x14ac:dyDescent="0.3">
      <c r="C367" s="1"/>
      <c r="G367" s="3"/>
      <c r="H367" s="1"/>
    </row>
    <row r="368" spans="3:8" ht="15.75" customHeight="1" x14ac:dyDescent="0.3">
      <c r="C368" s="1"/>
      <c r="G368" s="3"/>
      <c r="H368" s="1"/>
    </row>
    <row r="369" spans="3:8" ht="15.75" customHeight="1" x14ac:dyDescent="0.3">
      <c r="C369" s="1"/>
      <c r="G369" s="3"/>
      <c r="H369" s="1"/>
    </row>
    <row r="370" spans="3:8" ht="15.75" customHeight="1" x14ac:dyDescent="0.3">
      <c r="C370" s="1"/>
      <c r="G370" s="3"/>
      <c r="H370" s="1"/>
    </row>
    <row r="371" spans="3:8" ht="15.75" customHeight="1" x14ac:dyDescent="0.3">
      <c r="C371" s="1"/>
      <c r="G371" s="3"/>
      <c r="H371" s="1"/>
    </row>
    <row r="372" spans="3:8" ht="15.75" customHeight="1" x14ac:dyDescent="0.3">
      <c r="C372" s="1"/>
      <c r="G372" s="3"/>
      <c r="H372" s="1"/>
    </row>
    <row r="373" spans="3:8" ht="15.75" customHeight="1" x14ac:dyDescent="0.3">
      <c r="C373" s="1"/>
      <c r="G373" s="3"/>
      <c r="H373" s="1"/>
    </row>
    <row r="374" spans="3:8" ht="15.75" customHeight="1" x14ac:dyDescent="0.3">
      <c r="C374" s="1"/>
      <c r="G374" s="3"/>
      <c r="H374" s="1"/>
    </row>
    <row r="375" spans="3:8" ht="15.75" customHeight="1" x14ac:dyDescent="0.3">
      <c r="C375" s="1"/>
      <c r="G375" s="3"/>
      <c r="H375" s="1"/>
    </row>
    <row r="376" spans="3:8" ht="15.75" customHeight="1" x14ac:dyDescent="0.3">
      <c r="C376" s="1"/>
      <c r="G376" s="3"/>
      <c r="H376" s="1"/>
    </row>
    <row r="377" spans="3:8" ht="15.75" customHeight="1" x14ac:dyDescent="0.3">
      <c r="C377" s="1"/>
      <c r="G377" s="3"/>
      <c r="H377" s="1"/>
    </row>
    <row r="378" spans="3:8" ht="15.75" customHeight="1" x14ac:dyDescent="0.3">
      <c r="C378" s="1"/>
      <c r="G378" s="3"/>
      <c r="H378" s="1"/>
    </row>
    <row r="379" spans="3:8" ht="15.75" customHeight="1" x14ac:dyDescent="0.3">
      <c r="C379" s="1"/>
      <c r="G379" s="3"/>
      <c r="H379" s="1"/>
    </row>
    <row r="380" spans="3:8" ht="15.75" customHeight="1" x14ac:dyDescent="0.3">
      <c r="C380" s="1"/>
      <c r="G380" s="3"/>
      <c r="H380" s="1"/>
    </row>
    <row r="381" spans="3:8" ht="15.75" customHeight="1" x14ac:dyDescent="0.3">
      <c r="C381" s="1"/>
      <c r="G381" s="3"/>
      <c r="H381" s="1"/>
    </row>
    <row r="382" spans="3:8" ht="15.75" customHeight="1" x14ac:dyDescent="0.3">
      <c r="C382" s="1"/>
      <c r="G382" s="3"/>
      <c r="H382" s="1"/>
    </row>
    <row r="383" spans="3:8" ht="15.75" customHeight="1" x14ac:dyDescent="0.3">
      <c r="C383" s="1"/>
      <c r="G383" s="3"/>
      <c r="H383" s="1"/>
    </row>
    <row r="384" spans="3:8" ht="15.75" customHeight="1" x14ac:dyDescent="0.3">
      <c r="C384" s="1"/>
      <c r="G384" s="3"/>
      <c r="H384" s="1"/>
    </row>
    <row r="385" spans="3:8" ht="15.75" customHeight="1" x14ac:dyDescent="0.3">
      <c r="C385" s="1"/>
      <c r="G385" s="3"/>
      <c r="H385" s="1"/>
    </row>
    <row r="386" spans="3:8" ht="15.75" customHeight="1" x14ac:dyDescent="0.3">
      <c r="C386" s="1"/>
      <c r="G386" s="3"/>
      <c r="H386" s="1"/>
    </row>
    <row r="387" spans="3:8" ht="15.75" customHeight="1" x14ac:dyDescent="0.3">
      <c r="C387" s="1"/>
      <c r="G387" s="3"/>
      <c r="H387" s="1"/>
    </row>
    <row r="388" spans="3:8" ht="15.75" customHeight="1" x14ac:dyDescent="0.3">
      <c r="C388" s="1"/>
      <c r="G388" s="3"/>
      <c r="H388" s="1"/>
    </row>
    <row r="389" spans="3:8" ht="15.75" customHeight="1" x14ac:dyDescent="0.3">
      <c r="C389" s="1"/>
      <c r="G389" s="3"/>
      <c r="H389" s="1"/>
    </row>
    <row r="390" spans="3:8" ht="15.75" customHeight="1" x14ac:dyDescent="0.3">
      <c r="C390" s="1"/>
      <c r="G390" s="3"/>
      <c r="H390" s="1"/>
    </row>
    <row r="391" spans="3:8" ht="15.75" customHeight="1" x14ac:dyDescent="0.3">
      <c r="C391" s="1"/>
      <c r="G391" s="3"/>
      <c r="H391" s="1"/>
    </row>
    <row r="392" spans="3:8" ht="15.75" customHeight="1" x14ac:dyDescent="0.3">
      <c r="C392" s="1"/>
      <c r="G392" s="3"/>
      <c r="H392" s="1"/>
    </row>
    <row r="393" spans="3:8" ht="15.75" customHeight="1" x14ac:dyDescent="0.3">
      <c r="C393" s="1"/>
      <c r="G393" s="3"/>
      <c r="H393" s="1"/>
    </row>
    <row r="394" spans="3:8" ht="15.75" customHeight="1" x14ac:dyDescent="0.3">
      <c r="C394" s="1"/>
      <c r="G394" s="3"/>
      <c r="H394" s="1"/>
    </row>
    <row r="395" spans="3:8" ht="15.75" customHeight="1" x14ac:dyDescent="0.3">
      <c r="C395" s="1"/>
      <c r="G395" s="3"/>
      <c r="H395" s="1"/>
    </row>
    <row r="396" spans="3:8" ht="15.75" customHeight="1" x14ac:dyDescent="0.3">
      <c r="C396" s="1"/>
      <c r="G396" s="3"/>
      <c r="H396" s="1"/>
    </row>
    <row r="397" spans="3:8" ht="15.75" customHeight="1" x14ac:dyDescent="0.3">
      <c r="C397" s="1"/>
      <c r="G397" s="3"/>
      <c r="H397" s="1"/>
    </row>
    <row r="398" spans="3:8" ht="15.75" customHeight="1" x14ac:dyDescent="0.3">
      <c r="C398" s="1"/>
      <c r="G398" s="3"/>
      <c r="H398" s="1"/>
    </row>
    <row r="399" spans="3:8" ht="15.75" customHeight="1" x14ac:dyDescent="0.3">
      <c r="C399" s="1"/>
      <c r="G399" s="3"/>
      <c r="H399" s="1"/>
    </row>
    <row r="400" spans="3:8" ht="15.75" customHeight="1" x14ac:dyDescent="0.3">
      <c r="C400" s="1"/>
      <c r="G400" s="3"/>
      <c r="H400" s="1"/>
    </row>
    <row r="401" spans="3:8" ht="15.75" customHeight="1" x14ac:dyDescent="0.3">
      <c r="C401" s="1"/>
      <c r="G401" s="3"/>
      <c r="H401" s="1"/>
    </row>
    <row r="402" spans="3:8" ht="15.75" customHeight="1" x14ac:dyDescent="0.3">
      <c r="C402" s="1"/>
      <c r="G402" s="3"/>
      <c r="H402" s="1"/>
    </row>
    <row r="403" spans="3:8" ht="15.75" customHeight="1" x14ac:dyDescent="0.3">
      <c r="C403" s="1"/>
      <c r="G403" s="3"/>
      <c r="H403" s="1"/>
    </row>
    <row r="404" spans="3:8" ht="15.75" customHeight="1" x14ac:dyDescent="0.3">
      <c r="C404" s="1"/>
      <c r="G404" s="3"/>
      <c r="H404" s="1"/>
    </row>
    <row r="405" spans="3:8" ht="15.75" customHeight="1" x14ac:dyDescent="0.3">
      <c r="C405" s="1"/>
      <c r="G405" s="3"/>
      <c r="H405" s="1"/>
    </row>
    <row r="406" spans="3:8" ht="15.75" customHeight="1" x14ac:dyDescent="0.3">
      <c r="C406" s="1"/>
      <c r="G406" s="3"/>
      <c r="H406" s="1"/>
    </row>
    <row r="407" spans="3:8" ht="15.75" customHeight="1" x14ac:dyDescent="0.3">
      <c r="C407" s="1"/>
      <c r="G407" s="3"/>
      <c r="H407" s="1"/>
    </row>
    <row r="408" spans="3:8" ht="15.75" customHeight="1" x14ac:dyDescent="0.3">
      <c r="C408" s="1"/>
      <c r="G408" s="3"/>
      <c r="H408" s="1"/>
    </row>
    <row r="409" spans="3:8" ht="15.75" customHeight="1" x14ac:dyDescent="0.3">
      <c r="C409" s="1"/>
      <c r="G409" s="3"/>
      <c r="H409" s="1"/>
    </row>
    <row r="410" spans="3:8" ht="15.75" customHeight="1" x14ac:dyDescent="0.3">
      <c r="C410" s="1"/>
      <c r="G410" s="3"/>
      <c r="H410" s="1"/>
    </row>
    <row r="411" spans="3:8" ht="15.75" customHeight="1" x14ac:dyDescent="0.3">
      <c r="C411" s="1"/>
      <c r="G411" s="3"/>
      <c r="H411" s="1"/>
    </row>
    <row r="412" spans="3:8" ht="15.75" customHeight="1" x14ac:dyDescent="0.3">
      <c r="C412" s="1"/>
      <c r="G412" s="3"/>
      <c r="H412" s="1"/>
    </row>
    <row r="413" spans="3:8" ht="15.75" customHeight="1" x14ac:dyDescent="0.3">
      <c r="C413" s="1"/>
      <c r="G413" s="3"/>
      <c r="H413" s="1"/>
    </row>
    <row r="414" spans="3:8" ht="15.75" customHeight="1" x14ac:dyDescent="0.3">
      <c r="C414" s="1"/>
      <c r="G414" s="3"/>
      <c r="H414" s="1"/>
    </row>
    <row r="415" spans="3:8" ht="15.75" customHeight="1" x14ac:dyDescent="0.3">
      <c r="C415" s="1"/>
      <c r="G415" s="3"/>
      <c r="H415" s="1"/>
    </row>
    <row r="416" spans="3:8" ht="15.75" customHeight="1" x14ac:dyDescent="0.3">
      <c r="C416" s="1"/>
      <c r="G416" s="3"/>
      <c r="H416" s="1"/>
    </row>
    <row r="417" spans="3:8" ht="15.75" customHeight="1" x14ac:dyDescent="0.3">
      <c r="C417" s="1"/>
      <c r="G417" s="3"/>
      <c r="H417" s="1"/>
    </row>
    <row r="418" spans="3:8" ht="15.75" customHeight="1" x14ac:dyDescent="0.3">
      <c r="C418" s="1"/>
      <c r="G418" s="3"/>
      <c r="H418" s="1"/>
    </row>
    <row r="419" spans="3:8" ht="15.75" customHeight="1" x14ac:dyDescent="0.3">
      <c r="C419" s="1"/>
      <c r="G419" s="3"/>
      <c r="H419" s="1"/>
    </row>
    <row r="420" spans="3:8" ht="15.75" customHeight="1" x14ac:dyDescent="0.3">
      <c r="C420" s="1"/>
      <c r="G420" s="3"/>
      <c r="H420" s="1"/>
    </row>
    <row r="421" spans="3:8" ht="15.75" customHeight="1" x14ac:dyDescent="0.3">
      <c r="C421" s="1"/>
      <c r="G421" s="3"/>
      <c r="H421" s="1"/>
    </row>
    <row r="422" spans="3:8" ht="15.75" customHeight="1" x14ac:dyDescent="0.3">
      <c r="C422" s="1"/>
      <c r="G422" s="3"/>
      <c r="H422" s="1"/>
    </row>
    <row r="423" spans="3:8" ht="15.75" customHeight="1" x14ac:dyDescent="0.3">
      <c r="C423" s="1"/>
      <c r="G423" s="3"/>
      <c r="H423" s="1"/>
    </row>
    <row r="424" spans="3:8" ht="15.75" customHeight="1" x14ac:dyDescent="0.3">
      <c r="C424" s="1"/>
      <c r="G424" s="3"/>
      <c r="H424" s="1"/>
    </row>
    <row r="425" spans="3:8" ht="15.75" customHeight="1" x14ac:dyDescent="0.3">
      <c r="C425" s="1"/>
      <c r="G425" s="3"/>
      <c r="H425" s="1"/>
    </row>
    <row r="426" spans="3:8" ht="15.75" customHeight="1" x14ac:dyDescent="0.3">
      <c r="C426" s="1"/>
      <c r="G426" s="3"/>
      <c r="H426" s="1"/>
    </row>
    <row r="427" spans="3:8" ht="15.75" customHeight="1" x14ac:dyDescent="0.3">
      <c r="C427" s="1"/>
      <c r="G427" s="3"/>
      <c r="H427" s="1"/>
    </row>
    <row r="428" spans="3:8" ht="15.75" customHeight="1" x14ac:dyDescent="0.3">
      <c r="C428" s="1"/>
      <c r="G428" s="3"/>
      <c r="H428" s="1"/>
    </row>
    <row r="429" spans="3:8" ht="15.75" customHeight="1" x14ac:dyDescent="0.3">
      <c r="C429" s="1"/>
      <c r="G429" s="3"/>
      <c r="H429" s="1"/>
    </row>
    <row r="430" spans="3:8" ht="15.75" customHeight="1" x14ac:dyDescent="0.3">
      <c r="C430" s="1"/>
      <c r="G430" s="3"/>
      <c r="H430" s="1"/>
    </row>
    <row r="431" spans="3:8" ht="15.75" customHeight="1" x14ac:dyDescent="0.3">
      <c r="C431" s="1"/>
      <c r="G431" s="3"/>
      <c r="H431" s="1"/>
    </row>
    <row r="432" spans="3:8" ht="15.75" customHeight="1" x14ac:dyDescent="0.3">
      <c r="C432" s="1"/>
      <c r="G432" s="3"/>
      <c r="H432" s="1"/>
    </row>
    <row r="433" spans="3:8" ht="15.75" customHeight="1" x14ac:dyDescent="0.3">
      <c r="C433" s="1"/>
      <c r="G433" s="3"/>
      <c r="H433" s="1"/>
    </row>
    <row r="434" spans="3:8" ht="15.75" customHeight="1" x14ac:dyDescent="0.3">
      <c r="C434" s="1"/>
      <c r="G434" s="3"/>
      <c r="H434" s="1"/>
    </row>
    <row r="435" spans="3:8" ht="15.75" customHeight="1" x14ac:dyDescent="0.3">
      <c r="C435" s="1"/>
      <c r="G435" s="3"/>
      <c r="H435" s="1"/>
    </row>
    <row r="436" spans="3:8" ht="15.75" customHeight="1" x14ac:dyDescent="0.3">
      <c r="C436" s="1"/>
      <c r="G436" s="3"/>
      <c r="H436" s="1"/>
    </row>
    <row r="437" spans="3:8" ht="15.75" customHeight="1" x14ac:dyDescent="0.3">
      <c r="C437" s="1"/>
      <c r="G437" s="3"/>
      <c r="H437" s="1"/>
    </row>
    <row r="438" spans="3:8" ht="15.75" customHeight="1" x14ac:dyDescent="0.3">
      <c r="C438" s="1"/>
      <c r="G438" s="3"/>
      <c r="H438" s="1"/>
    </row>
    <row r="439" spans="3:8" ht="15.75" customHeight="1" x14ac:dyDescent="0.3">
      <c r="C439" s="1"/>
      <c r="G439" s="3"/>
      <c r="H439" s="1"/>
    </row>
    <row r="440" spans="3:8" ht="15.75" customHeight="1" x14ac:dyDescent="0.3">
      <c r="C440" s="1"/>
      <c r="G440" s="3"/>
      <c r="H440" s="1"/>
    </row>
    <row r="441" spans="3:8" ht="15.75" customHeight="1" x14ac:dyDescent="0.3">
      <c r="C441" s="1"/>
      <c r="G441" s="3"/>
      <c r="H441" s="1"/>
    </row>
    <row r="442" spans="3:8" ht="15.75" customHeight="1" x14ac:dyDescent="0.3">
      <c r="C442" s="1"/>
      <c r="G442" s="3"/>
      <c r="H442" s="1"/>
    </row>
    <row r="443" spans="3:8" ht="15.75" customHeight="1" x14ac:dyDescent="0.3">
      <c r="C443" s="1"/>
      <c r="G443" s="3"/>
      <c r="H443" s="1"/>
    </row>
    <row r="444" spans="3:8" ht="15.75" customHeight="1" x14ac:dyDescent="0.3">
      <c r="C444" s="1"/>
      <c r="G444" s="3"/>
      <c r="H444" s="1"/>
    </row>
    <row r="445" spans="3:8" ht="15.75" customHeight="1" x14ac:dyDescent="0.3">
      <c r="C445" s="1"/>
      <c r="G445" s="3"/>
      <c r="H445" s="1"/>
    </row>
    <row r="446" spans="3:8" ht="15.75" customHeight="1" x14ac:dyDescent="0.3">
      <c r="C446" s="1"/>
      <c r="G446" s="3"/>
      <c r="H446" s="1"/>
    </row>
    <row r="447" spans="3:8" ht="15.75" customHeight="1" x14ac:dyDescent="0.3">
      <c r="C447" s="1"/>
      <c r="G447" s="3"/>
      <c r="H447" s="1"/>
    </row>
    <row r="448" spans="3:8" ht="15.75" customHeight="1" x14ac:dyDescent="0.3">
      <c r="C448" s="1"/>
      <c r="G448" s="3"/>
      <c r="H448" s="1"/>
    </row>
    <row r="449" spans="3:8" ht="15.75" customHeight="1" x14ac:dyDescent="0.3">
      <c r="C449" s="1"/>
      <c r="G449" s="3"/>
      <c r="H449" s="1"/>
    </row>
    <row r="450" spans="3:8" ht="15.75" customHeight="1" x14ac:dyDescent="0.3">
      <c r="C450" s="1"/>
      <c r="G450" s="3"/>
      <c r="H450" s="1"/>
    </row>
    <row r="451" spans="3:8" ht="15.75" customHeight="1" x14ac:dyDescent="0.3">
      <c r="C451" s="1"/>
      <c r="G451" s="3"/>
      <c r="H451" s="1"/>
    </row>
    <row r="452" spans="3:8" ht="15.75" customHeight="1" x14ac:dyDescent="0.3">
      <c r="C452" s="1"/>
      <c r="G452" s="3"/>
      <c r="H452" s="1"/>
    </row>
    <row r="453" spans="3:8" ht="15.75" customHeight="1" x14ac:dyDescent="0.3">
      <c r="C453" s="1"/>
      <c r="G453" s="3"/>
      <c r="H453" s="1"/>
    </row>
    <row r="454" spans="3:8" ht="15.75" customHeight="1" x14ac:dyDescent="0.3">
      <c r="C454" s="1"/>
      <c r="G454" s="3"/>
      <c r="H454" s="1"/>
    </row>
    <row r="455" spans="3:8" ht="15.75" customHeight="1" x14ac:dyDescent="0.3">
      <c r="C455" s="1"/>
      <c r="G455" s="3"/>
      <c r="H455" s="1"/>
    </row>
    <row r="456" spans="3:8" ht="15.75" customHeight="1" x14ac:dyDescent="0.3">
      <c r="C456" s="1"/>
      <c r="G456" s="3"/>
      <c r="H456" s="1"/>
    </row>
    <row r="457" spans="3:8" ht="15.75" customHeight="1" x14ac:dyDescent="0.3">
      <c r="C457" s="1"/>
      <c r="G457" s="3"/>
      <c r="H457" s="1"/>
    </row>
    <row r="458" spans="3:8" ht="15.75" customHeight="1" x14ac:dyDescent="0.3">
      <c r="C458" s="1"/>
      <c r="G458" s="3"/>
      <c r="H458" s="1"/>
    </row>
    <row r="459" spans="3:8" ht="15.75" customHeight="1" x14ac:dyDescent="0.3">
      <c r="C459" s="1"/>
      <c r="G459" s="3"/>
      <c r="H459" s="1"/>
    </row>
    <row r="460" spans="3:8" ht="15.75" customHeight="1" x14ac:dyDescent="0.3">
      <c r="C460" s="1"/>
      <c r="G460" s="3"/>
      <c r="H460" s="1"/>
    </row>
    <row r="461" spans="3:8" ht="15.75" customHeight="1" x14ac:dyDescent="0.3">
      <c r="C461" s="1"/>
      <c r="G461" s="3"/>
      <c r="H461" s="1"/>
    </row>
    <row r="462" spans="3:8" ht="15.75" customHeight="1" x14ac:dyDescent="0.3">
      <c r="C462" s="1"/>
      <c r="G462" s="3"/>
      <c r="H462" s="1"/>
    </row>
    <row r="463" spans="3:8" ht="15.75" customHeight="1" x14ac:dyDescent="0.3">
      <c r="C463" s="1"/>
      <c r="G463" s="3"/>
      <c r="H463" s="1"/>
    </row>
    <row r="464" spans="3:8" ht="15.75" customHeight="1" x14ac:dyDescent="0.3">
      <c r="C464" s="1"/>
      <c r="G464" s="3"/>
      <c r="H464" s="1"/>
    </row>
    <row r="465" spans="3:8" ht="15.75" customHeight="1" x14ac:dyDescent="0.3">
      <c r="C465" s="1"/>
      <c r="G465" s="3"/>
      <c r="H465" s="1"/>
    </row>
    <row r="466" spans="3:8" ht="15.75" customHeight="1" x14ac:dyDescent="0.3">
      <c r="C466" s="1"/>
      <c r="G466" s="3"/>
      <c r="H466" s="1"/>
    </row>
    <row r="467" spans="3:8" ht="15.75" customHeight="1" x14ac:dyDescent="0.3">
      <c r="C467" s="1"/>
      <c r="G467" s="3"/>
      <c r="H467" s="1"/>
    </row>
    <row r="468" spans="3:8" ht="15.75" customHeight="1" x14ac:dyDescent="0.3">
      <c r="C468" s="1"/>
      <c r="G468" s="3"/>
      <c r="H468" s="1"/>
    </row>
    <row r="469" spans="3:8" ht="15.75" customHeight="1" x14ac:dyDescent="0.3">
      <c r="C469" s="1"/>
      <c r="G469" s="3"/>
      <c r="H469" s="1"/>
    </row>
    <row r="470" spans="3:8" ht="15.75" customHeight="1" x14ac:dyDescent="0.3">
      <c r="C470" s="1"/>
      <c r="G470" s="3"/>
      <c r="H470" s="1"/>
    </row>
    <row r="471" spans="3:8" ht="15.75" customHeight="1" x14ac:dyDescent="0.3">
      <c r="C471" s="1"/>
      <c r="G471" s="3"/>
      <c r="H471" s="1"/>
    </row>
    <row r="472" spans="3:8" ht="15.75" customHeight="1" x14ac:dyDescent="0.3">
      <c r="C472" s="1"/>
      <c r="G472" s="3"/>
      <c r="H472" s="1"/>
    </row>
    <row r="473" spans="3:8" ht="15.75" customHeight="1" x14ac:dyDescent="0.3">
      <c r="C473" s="1"/>
      <c r="G473" s="3"/>
      <c r="H473" s="1"/>
    </row>
    <row r="474" spans="3:8" ht="15.75" customHeight="1" x14ac:dyDescent="0.3">
      <c r="C474" s="1"/>
      <c r="G474" s="3"/>
      <c r="H474" s="1"/>
    </row>
    <row r="475" spans="3:8" ht="15.75" customHeight="1" x14ac:dyDescent="0.3">
      <c r="C475" s="1"/>
      <c r="G475" s="3"/>
      <c r="H475" s="1"/>
    </row>
    <row r="476" spans="3:8" ht="15.75" customHeight="1" x14ac:dyDescent="0.3">
      <c r="C476" s="1"/>
      <c r="G476" s="3"/>
      <c r="H476" s="1"/>
    </row>
    <row r="477" spans="3:8" ht="15.75" customHeight="1" x14ac:dyDescent="0.3">
      <c r="C477" s="1"/>
      <c r="G477" s="3"/>
      <c r="H477" s="1"/>
    </row>
    <row r="478" spans="3:8" ht="15.75" customHeight="1" x14ac:dyDescent="0.3">
      <c r="C478" s="1"/>
      <c r="G478" s="3"/>
      <c r="H478" s="1"/>
    </row>
    <row r="479" spans="3:8" ht="15.75" customHeight="1" x14ac:dyDescent="0.3">
      <c r="C479" s="1"/>
      <c r="G479" s="3"/>
      <c r="H479" s="1"/>
    </row>
    <row r="480" spans="3:8" ht="15.75" customHeight="1" x14ac:dyDescent="0.3">
      <c r="C480" s="1"/>
      <c r="G480" s="3"/>
      <c r="H480" s="1"/>
    </row>
    <row r="481" spans="3:8" ht="15.75" customHeight="1" x14ac:dyDescent="0.3">
      <c r="C481" s="1"/>
      <c r="G481" s="3"/>
      <c r="H481" s="1"/>
    </row>
    <row r="482" spans="3:8" ht="15.75" customHeight="1" x14ac:dyDescent="0.3">
      <c r="C482" s="1"/>
      <c r="G482" s="3"/>
      <c r="H482" s="1"/>
    </row>
    <row r="483" spans="3:8" ht="15.75" customHeight="1" x14ac:dyDescent="0.3">
      <c r="C483" s="1"/>
      <c r="G483" s="3"/>
      <c r="H483" s="1"/>
    </row>
    <row r="484" spans="3:8" ht="15.75" customHeight="1" x14ac:dyDescent="0.3">
      <c r="C484" s="1"/>
      <c r="G484" s="3"/>
      <c r="H484" s="1"/>
    </row>
    <row r="485" spans="3:8" ht="15.75" customHeight="1" x14ac:dyDescent="0.3">
      <c r="C485" s="1"/>
      <c r="G485" s="3"/>
      <c r="H485" s="1"/>
    </row>
    <row r="486" spans="3:8" ht="15.75" customHeight="1" x14ac:dyDescent="0.3">
      <c r="C486" s="1"/>
      <c r="G486" s="3"/>
      <c r="H486" s="1"/>
    </row>
    <row r="487" spans="3:8" ht="15.75" customHeight="1" x14ac:dyDescent="0.3">
      <c r="C487" s="1"/>
      <c r="G487" s="3"/>
      <c r="H487" s="1"/>
    </row>
    <row r="488" spans="3:8" ht="15.75" customHeight="1" x14ac:dyDescent="0.3">
      <c r="C488" s="1"/>
      <c r="G488" s="3"/>
      <c r="H488" s="1"/>
    </row>
    <row r="489" spans="3:8" ht="15.75" customHeight="1" x14ac:dyDescent="0.3">
      <c r="C489" s="1"/>
      <c r="G489" s="3"/>
      <c r="H489" s="1"/>
    </row>
    <row r="490" spans="3:8" ht="15.75" customHeight="1" x14ac:dyDescent="0.3">
      <c r="C490" s="1"/>
      <c r="G490" s="3"/>
      <c r="H490" s="1"/>
    </row>
    <row r="491" spans="3:8" ht="15.75" customHeight="1" x14ac:dyDescent="0.3">
      <c r="C491" s="1"/>
      <c r="G491" s="3"/>
      <c r="H491" s="1"/>
    </row>
    <row r="492" spans="3:8" ht="15.75" customHeight="1" x14ac:dyDescent="0.3">
      <c r="C492" s="1"/>
      <c r="G492" s="3"/>
      <c r="H492" s="1"/>
    </row>
    <row r="493" spans="3:8" ht="15.75" customHeight="1" x14ac:dyDescent="0.3">
      <c r="C493" s="1"/>
      <c r="G493" s="3"/>
      <c r="H493" s="1"/>
    </row>
    <row r="494" spans="3:8" ht="15.75" customHeight="1" x14ac:dyDescent="0.3">
      <c r="C494" s="1"/>
      <c r="G494" s="3"/>
      <c r="H494" s="1"/>
    </row>
    <row r="495" spans="3:8" ht="15.75" customHeight="1" x14ac:dyDescent="0.3">
      <c r="C495" s="1"/>
      <c r="G495" s="3"/>
      <c r="H495" s="1"/>
    </row>
    <row r="496" spans="3:8" ht="15.75" customHeight="1" x14ac:dyDescent="0.3">
      <c r="C496" s="1"/>
      <c r="G496" s="3"/>
      <c r="H496" s="1"/>
    </row>
    <row r="497" spans="3:8" ht="15.75" customHeight="1" x14ac:dyDescent="0.3">
      <c r="C497" s="1"/>
      <c r="G497" s="3"/>
      <c r="H497" s="1"/>
    </row>
    <row r="498" spans="3:8" ht="15.75" customHeight="1" x14ac:dyDescent="0.3">
      <c r="C498" s="1"/>
      <c r="G498" s="3"/>
      <c r="H498" s="1"/>
    </row>
    <row r="499" spans="3:8" ht="15.75" customHeight="1" x14ac:dyDescent="0.3">
      <c r="C499" s="1"/>
      <c r="G499" s="3"/>
      <c r="H499" s="1"/>
    </row>
    <row r="500" spans="3:8" ht="15.75" customHeight="1" x14ac:dyDescent="0.3">
      <c r="C500" s="1"/>
      <c r="G500" s="3"/>
      <c r="H500" s="1"/>
    </row>
    <row r="501" spans="3:8" ht="15.75" customHeight="1" x14ac:dyDescent="0.3">
      <c r="C501" s="1"/>
      <c r="G501" s="3"/>
      <c r="H501" s="1"/>
    </row>
    <row r="502" spans="3:8" ht="15.75" customHeight="1" x14ac:dyDescent="0.3">
      <c r="C502" s="1"/>
      <c r="G502" s="3"/>
      <c r="H502" s="1"/>
    </row>
    <row r="503" spans="3:8" ht="15.75" customHeight="1" x14ac:dyDescent="0.3">
      <c r="C503" s="1"/>
      <c r="G503" s="3"/>
      <c r="H503" s="1"/>
    </row>
    <row r="504" spans="3:8" ht="15.75" customHeight="1" x14ac:dyDescent="0.3">
      <c r="C504" s="1"/>
      <c r="G504" s="3"/>
      <c r="H504" s="1"/>
    </row>
    <row r="505" spans="3:8" ht="15.75" customHeight="1" x14ac:dyDescent="0.3">
      <c r="C505" s="1"/>
      <c r="G505" s="3"/>
      <c r="H505" s="1"/>
    </row>
    <row r="506" spans="3:8" ht="15.75" customHeight="1" x14ac:dyDescent="0.3">
      <c r="C506" s="1"/>
      <c r="G506" s="3"/>
      <c r="H506" s="1"/>
    </row>
    <row r="507" spans="3:8" ht="15.75" customHeight="1" x14ac:dyDescent="0.3">
      <c r="C507" s="1"/>
      <c r="G507" s="3"/>
      <c r="H507" s="1"/>
    </row>
    <row r="508" spans="3:8" ht="15.75" customHeight="1" x14ac:dyDescent="0.3">
      <c r="C508" s="1"/>
      <c r="G508" s="3"/>
      <c r="H508" s="1"/>
    </row>
    <row r="509" spans="3:8" ht="15.75" customHeight="1" x14ac:dyDescent="0.3">
      <c r="C509" s="1"/>
      <c r="G509" s="3"/>
      <c r="H509" s="1"/>
    </row>
    <row r="510" spans="3:8" ht="15.75" customHeight="1" x14ac:dyDescent="0.3">
      <c r="C510" s="1"/>
      <c r="G510" s="3"/>
      <c r="H510" s="1"/>
    </row>
    <row r="511" spans="3:8" ht="15.75" customHeight="1" x14ac:dyDescent="0.3">
      <c r="C511" s="1"/>
      <c r="G511" s="3"/>
      <c r="H511" s="1"/>
    </row>
    <row r="512" spans="3:8" ht="15.75" customHeight="1" x14ac:dyDescent="0.3">
      <c r="C512" s="1"/>
      <c r="G512" s="3"/>
      <c r="H512" s="1"/>
    </row>
    <row r="513" spans="3:8" ht="15.75" customHeight="1" x14ac:dyDescent="0.3">
      <c r="C513" s="1"/>
      <c r="G513" s="3"/>
      <c r="H513" s="1"/>
    </row>
    <row r="514" spans="3:8" ht="15.75" customHeight="1" x14ac:dyDescent="0.3">
      <c r="C514" s="1"/>
      <c r="G514" s="3"/>
      <c r="H514" s="1"/>
    </row>
    <row r="515" spans="3:8" ht="15.75" customHeight="1" x14ac:dyDescent="0.3">
      <c r="C515" s="1"/>
      <c r="G515" s="3"/>
      <c r="H515" s="1"/>
    </row>
    <row r="516" spans="3:8" ht="15.75" customHeight="1" x14ac:dyDescent="0.3">
      <c r="C516" s="1"/>
      <c r="G516" s="3"/>
      <c r="H516" s="1"/>
    </row>
    <row r="517" spans="3:8" ht="15.75" customHeight="1" x14ac:dyDescent="0.3">
      <c r="C517" s="1"/>
      <c r="G517" s="3"/>
      <c r="H517" s="1"/>
    </row>
    <row r="518" spans="3:8" ht="15.75" customHeight="1" x14ac:dyDescent="0.3">
      <c r="C518" s="1"/>
      <c r="G518" s="3"/>
      <c r="H518" s="1"/>
    </row>
    <row r="519" spans="3:8" ht="15.75" customHeight="1" x14ac:dyDescent="0.3">
      <c r="C519" s="1"/>
      <c r="G519" s="3"/>
      <c r="H519" s="1"/>
    </row>
    <row r="520" spans="3:8" ht="15.75" customHeight="1" x14ac:dyDescent="0.3">
      <c r="C520" s="1"/>
      <c r="G520" s="3"/>
      <c r="H520" s="1"/>
    </row>
    <row r="521" spans="3:8" ht="15.75" customHeight="1" x14ac:dyDescent="0.3">
      <c r="C521" s="1"/>
      <c r="G521" s="3"/>
      <c r="H521" s="1"/>
    </row>
    <row r="522" spans="3:8" ht="15.75" customHeight="1" x14ac:dyDescent="0.3">
      <c r="C522" s="1"/>
      <c r="G522" s="3"/>
      <c r="H522" s="1"/>
    </row>
    <row r="523" spans="3:8" ht="15.75" customHeight="1" x14ac:dyDescent="0.3">
      <c r="C523" s="1"/>
      <c r="G523" s="3"/>
      <c r="H523" s="1"/>
    </row>
    <row r="524" spans="3:8" ht="15.75" customHeight="1" x14ac:dyDescent="0.3">
      <c r="C524" s="1"/>
      <c r="G524" s="3"/>
      <c r="H524" s="1"/>
    </row>
    <row r="525" spans="3:8" ht="15.75" customHeight="1" x14ac:dyDescent="0.3">
      <c r="C525" s="1"/>
      <c r="G525" s="3"/>
      <c r="H525" s="1"/>
    </row>
    <row r="526" spans="3:8" ht="15.75" customHeight="1" x14ac:dyDescent="0.3">
      <c r="C526" s="1"/>
      <c r="G526" s="3"/>
      <c r="H526" s="1"/>
    </row>
    <row r="527" spans="3:8" ht="15.75" customHeight="1" x14ac:dyDescent="0.3">
      <c r="C527" s="1"/>
      <c r="G527" s="3"/>
      <c r="H527" s="1"/>
    </row>
    <row r="528" spans="3:8" ht="15.75" customHeight="1" x14ac:dyDescent="0.3">
      <c r="C528" s="1"/>
      <c r="G528" s="3"/>
      <c r="H528" s="1"/>
    </row>
    <row r="529" spans="3:8" ht="15.75" customHeight="1" x14ac:dyDescent="0.3">
      <c r="C529" s="1"/>
      <c r="G529" s="3"/>
      <c r="H529" s="1"/>
    </row>
    <row r="530" spans="3:8" ht="15.75" customHeight="1" x14ac:dyDescent="0.3">
      <c r="C530" s="1"/>
      <c r="G530" s="3"/>
      <c r="H530" s="1"/>
    </row>
    <row r="531" spans="3:8" ht="15.75" customHeight="1" x14ac:dyDescent="0.3">
      <c r="C531" s="1"/>
      <c r="G531" s="3"/>
      <c r="H531" s="1"/>
    </row>
    <row r="532" spans="3:8" ht="15.75" customHeight="1" x14ac:dyDescent="0.3">
      <c r="C532" s="1"/>
      <c r="G532" s="3"/>
      <c r="H532" s="1"/>
    </row>
    <row r="533" spans="3:8" ht="15.75" customHeight="1" x14ac:dyDescent="0.3">
      <c r="C533" s="1"/>
      <c r="G533" s="3"/>
      <c r="H533" s="1"/>
    </row>
    <row r="534" spans="3:8" ht="15.75" customHeight="1" x14ac:dyDescent="0.3">
      <c r="C534" s="1"/>
      <c r="G534" s="3"/>
      <c r="H534" s="1"/>
    </row>
    <row r="535" spans="3:8" ht="15.75" customHeight="1" x14ac:dyDescent="0.3">
      <c r="C535" s="1"/>
      <c r="G535" s="3"/>
      <c r="H535" s="1"/>
    </row>
    <row r="536" spans="3:8" ht="15.75" customHeight="1" x14ac:dyDescent="0.3">
      <c r="C536" s="1"/>
      <c r="G536" s="3"/>
      <c r="H536" s="1"/>
    </row>
    <row r="537" spans="3:8" ht="15.75" customHeight="1" x14ac:dyDescent="0.3">
      <c r="C537" s="1"/>
      <c r="G537" s="3"/>
      <c r="H537" s="1"/>
    </row>
    <row r="538" spans="3:8" ht="15.75" customHeight="1" x14ac:dyDescent="0.3">
      <c r="C538" s="1"/>
      <c r="G538" s="3"/>
      <c r="H538" s="1"/>
    </row>
    <row r="539" spans="3:8" ht="15.75" customHeight="1" x14ac:dyDescent="0.3">
      <c r="C539" s="1"/>
      <c r="G539" s="3"/>
      <c r="H539" s="1"/>
    </row>
    <row r="540" spans="3:8" ht="15.75" customHeight="1" x14ac:dyDescent="0.3">
      <c r="C540" s="1"/>
      <c r="G540" s="3"/>
      <c r="H540" s="1"/>
    </row>
    <row r="541" spans="3:8" ht="15.75" customHeight="1" x14ac:dyDescent="0.3">
      <c r="C541" s="1"/>
      <c r="G541" s="3"/>
      <c r="H541" s="1"/>
    </row>
    <row r="542" spans="3:8" ht="15.75" customHeight="1" x14ac:dyDescent="0.3">
      <c r="C542" s="1"/>
      <c r="G542" s="3"/>
      <c r="H542" s="1"/>
    </row>
    <row r="543" spans="3:8" ht="15.75" customHeight="1" x14ac:dyDescent="0.3">
      <c r="C543" s="1"/>
      <c r="G543" s="3"/>
      <c r="H543" s="1"/>
    </row>
    <row r="544" spans="3:8" ht="15.75" customHeight="1" x14ac:dyDescent="0.3">
      <c r="C544" s="1"/>
      <c r="G544" s="3"/>
      <c r="H544" s="1"/>
    </row>
    <row r="545" spans="3:8" ht="15.75" customHeight="1" x14ac:dyDescent="0.3">
      <c r="C545" s="1"/>
      <c r="G545" s="3"/>
      <c r="H545" s="1"/>
    </row>
    <row r="546" spans="3:8" ht="15.75" customHeight="1" x14ac:dyDescent="0.3">
      <c r="C546" s="1"/>
      <c r="G546" s="3"/>
      <c r="H546" s="1"/>
    </row>
    <row r="547" spans="3:8" ht="15.75" customHeight="1" x14ac:dyDescent="0.3">
      <c r="C547" s="1"/>
      <c r="G547" s="3"/>
      <c r="H547" s="1"/>
    </row>
    <row r="548" spans="3:8" ht="15.75" customHeight="1" x14ac:dyDescent="0.3">
      <c r="C548" s="1"/>
      <c r="G548" s="3"/>
      <c r="H548" s="1"/>
    </row>
    <row r="549" spans="3:8" ht="15.75" customHeight="1" x14ac:dyDescent="0.3">
      <c r="C549" s="1"/>
      <c r="G549" s="3"/>
      <c r="H549" s="1"/>
    </row>
    <row r="550" spans="3:8" ht="15.75" customHeight="1" x14ac:dyDescent="0.3">
      <c r="C550" s="1"/>
      <c r="G550" s="3"/>
      <c r="H550" s="1"/>
    </row>
    <row r="551" spans="3:8" ht="15.75" customHeight="1" x14ac:dyDescent="0.3">
      <c r="C551" s="1"/>
      <c r="G551" s="3"/>
      <c r="H551" s="1"/>
    </row>
    <row r="552" spans="3:8" ht="15.75" customHeight="1" x14ac:dyDescent="0.3">
      <c r="C552" s="1"/>
      <c r="G552" s="3"/>
      <c r="H552" s="1"/>
    </row>
    <row r="553" spans="3:8" ht="15.75" customHeight="1" x14ac:dyDescent="0.3">
      <c r="C553" s="1"/>
      <c r="G553" s="3"/>
      <c r="H553" s="1"/>
    </row>
    <row r="554" spans="3:8" ht="15.75" customHeight="1" x14ac:dyDescent="0.3">
      <c r="C554" s="1"/>
      <c r="G554" s="3"/>
      <c r="H554" s="1"/>
    </row>
    <row r="555" spans="3:8" ht="15.75" customHeight="1" x14ac:dyDescent="0.3">
      <c r="C555" s="1"/>
      <c r="G555" s="3"/>
      <c r="H555" s="1"/>
    </row>
    <row r="556" spans="3:8" ht="15.75" customHeight="1" x14ac:dyDescent="0.3">
      <c r="C556" s="1"/>
      <c r="G556" s="3"/>
      <c r="H556" s="1"/>
    </row>
    <row r="557" spans="3:8" ht="15.75" customHeight="1" x14ac:dyDescent="0.3">
      <c r="C557" s="1"/>
      <c r="G557" s="3"/>
      <c r="H557" s="1"/>
    </row>
    <row r="558" spans="3:8" ht="15.75" customHeight="1" x14ac:dyDescent="0.3">
      <c r="C558" s="1"/>
      <c r="G558" s="3"/>
      <c r="H558" s="1"/>
    </row>
    <row r="559" spans="3:8" ht="15.75" customHeight="1" x14ac:dyDescent="0.3">
      <c r="C559" s="1"/>
      <c r="G559" s="3"/>
      <c r="H559" s="1"/>
    </row>
    <row r="560" spans="3:8" ht="15.75" customHeight="1" x14ac:dyDescent="0.3">
      <c r="C560" s="1"/>
      <c r="G560" s="3"/>
      <c r="H560" s="1"/>
    </row>
    <row r="561" spans="3:8" ht="15.75" customHeight="1" x14ac:dyDescent="0.3">
      <c r="C561" s="1"/>
      <c r="G561" s="3"/>
      <c r="H561" s="1"/>
    </row>
    <row r="562" spans="3:8" ht="15.75" customHeight="1" x14ac:dyDescent="0.3">
      <c r="C562" s="1"/>
      <c r="G562" s="3"/>
      <c r="H562" s="1"/>
    </row>
    <row r="563" spans="3:8" ht="15.75" customHeight="1" x14ac:dyDescent="0.3">
      <c r="C563" s="1"/>
      <c r="G563" s="3"/>
      <c r="H563" s="1"/>
    </row>
    <row r="564" spans="3:8" ht="15.75" customHeight="1" x14ac:dyDescent="0.3">
      <c r="C564" s="1"/>
      <c r="G564" s="3"/>
      <c r="H564" s="1"/>
    </row>
    <row r="565" spans="3:8" ht="15.75" customHeight="1" x14ac:dyDescent="0.3">
      <c r="C565" s="1"/>
      <c r="G565" s="3"/>
      <c r="H565" s="1"/>
    </row>
    <row r="566" spans="3:8" ht="15.75" customHeight="1" x14ac:dyDescent="0.3">
      <c r="C566" s="1"/>
      <c r="G566" s="3"/>
      <c r="H566" s="1"/>
    </row>
    <row r="567" spans="3:8" ht="15.75" customHeight="1" x14ac:dyDescent="0.3">
      <c r="C567" s="1"/>
      <c r="G567" s="3"/>
      <c r="H567" s="1"/>
    </row>
    <row r="568" spans="3:8" ht="15.75" customHeight="1" x14ac:dyDescent="0.3">
      <c r="C568" s="1"/>
      <c r="G568" s="3"/>
      <c r="H568" s="1"/>
    </row>
    <row r="569" spans="3:8" ht="15.75" customHeight="1" x14ac:dyDescent="0.3">
      <c r="C569" s="1"/>
      <c r="G569" s="3"/>
      <c r="H569" s="1"/>
    </row>
    <row r="570" spans="3:8" ht="15.75" customHeight="1" x14ac:dyDescent="0.3">
      <c r="C570" s="1"/>
      <c r="G570" s="3"/>
      <c r="H570" s="1"/>
    </row>
    <row r="571" spans="3:8" ht="15.75" customHeight="1" x14ac:dyDescent="0.3">
      <c r="C571" s="1"/>
      <c r="G571" s="3"/>
      <c r="H571" s="1"/>
    </row>
    <row r="572" spans="3:8" ht="15.75" customHeight="1" x14ac:dyDescent="0.3">
      <c r="C572" s="1"/>
      <c r="G572" s="3"/>
      <c r="H572" s="1"/>
    </row>
    <row r="573" spans="3:8" ht="15.75" customHeight="1" x14ac:dyDescent="0.3">
      <c r="C573" s="1"/>
      <c r="G573" s="3"/>
      <c r="H573" s="1"/>
    </row>
    <row r="574" spans="3:8" ht="15.75" customHeight="1" x14ac:dyDescent="0.3">
      <c r="C574" s="1"/>
      <c r="G574" s="3"/>
      <c r="H574" s="1"/>
    </row>
    <row r="575" spans="3:8" ht="15.75" customHeight="1" x14ac:dyDescent="0.3">
      <c r="C575" s="1"/>
      <c r="G575" s="3"/>
      <c r="H575" s="1"/>
    </row>
    <row r="576" spans="3:8" ht="15.75" customHeight="1" x14ac:dyDescent="0.3">
      <c r="C576" s="1"/>
      <c r="G576" s="3"/>
      <c r="H576" s="1"/>
    </row>
    <row r="577" spans="3:8" ht="15.75" customHeight="1" x14ac:dyDescent="0.3">
      <c r="C577" s="1"/>
      <c r="G577" s="3"/>
      <c r="H577" s="1"/>
    </row>
    <row r="578" spans="3:8" ht="15.75" customHeight="1" x14ac:dyDescent="0.3">
      <c r="C578" s="1"/>
      <c r="G578" s="3"/>
      <c r="H578" s="1"/>
    </row>
    <row r="579" spans="3:8" ht="15.75" customHeight="1" x14ac:dyDescent="0.3">
      <c r="C579" s="1"/>
      <c r="G579" s="3"/>
      <c r="H579" s="1"/>
    </row>
    <row r="580" spans="3:8" ht="15.75" customHeight="1" x14ac:dyDescent="0.3">
      <c r="C580" s="1"/>
      <c r="G580" s="3"/>
      <c r="H580" s="1"/>
    </row>
    <row r="581" spans="3:8" ht="15.75" customHeight="1" x14ac:dyDescent="0.3">
      <c r="C581" s="1"/>
      <c r="G581" s="3"/>
      <c r="H581" s="1"/>
    </row>
    <row r="582" spans="3:8" ht="15.75" customHeight="1" x14ac:dyDescent="0.3">
      <c r="C582" s="1"/>
      <c r="G582" s="3"/>
      <c r="H582" s="1"/>
    </row>
    <row r="583" spans="3:8" ht="15.75" customHeight="1" x14ac:dyDescent="0.3">
      <c r="C583" s="1"/>
      <c r="G583" s="3"/>
      <c r="H583" s="1"/>
    </row>
    <row r="584" spans="3:8" ht="15.75" customHeight="1" x14ac:dyDescent="0.3">
      <c r="C584" s="1"/>
      <c r="G584" s="3"/>
      <c r="H584" s="1"/>
    </row>
    <row r="585" spans="3:8" ht="15.75" customHeight="1" x14ac:dyDescent="0.3">
      <c r="C585" s="1"/>
      <c r="G585" s="3"/>
      <c r="H585" s="1"/>
    </row>
    <row r="586" spans="3:8" ht="15.75" customHeight="1" x14ac:dyDescent="0.3">
      <c r="C586" s="1"/>
      <c r="G586" s="3"/>
      <c r="H586" s="1"/>
    </row>
    <row r="587" spans="3:8" ht="15.75" customHeight="1" x14ac:dyDescent="0.3">
      <c r="C587" s="1"/>
      <c r="G587" s="3"/>
      <c r="H587" s="1"/>
    </row>
    <row r="588" spans="3:8" ht="15.75" customHeight="1" x14ac:dyDescent="0.3">
      <c r="C588" s="1"/>
      <c r="G588" s="3"/>
      <c r="H588" s="1"/>
    </row>
    <row r="589" spans="3:8" ht="15.75" customHeight="1" x14ac:dyDescent="0.3">
      <c r="C589" s="1"/>
      <c r="G589" s="3"/>
      <c r="H589" s="1"/>
    </row>
    <row r="590" spans="3:8" ht="15.75" customHeight="1" x14ac:dyDescent="0.3">
      <c r="C590" s="1"/>
      <c r="G590" s="3"/>
      <c r="H590" s="1"/>
    </row>
    <row r="591" spans="3:8" ht="15.75" customHeight="1" x14ac:dyDescent="0.3">
      <c r="C591" s="1"/>
      <c r="G591" s="3"/>
      <c r="H591" s="1"/>
    </row>
    <row r="592" spans="3:8" ht="15.75" customHeight="1" x14ac:dyDescent="0.3">
      <c r="C592" s="1"/>
      <c r="G592" s="3"/>
      <c r="H592" s="1"/>
    </row>
    <row r="593" spans="3:8" ht="15.75" customHeight="1" x14ac:dyDescent="0.3">
      <c r="C593" s="1"/>
      <c r="G593" s="3"/>
      <c r="H593" s="1"/>
    </row>
    <row r="594" spans="3:8" ht="15.75" customHeight="1" x14ac:dyDescent="0.3">
      <c r="C594" s="1"/>
      <c r="G594" s="3"/>
      <c r="H594" s="1"/>
    </row>
    <row r="595" spans="3:8" ht="15.75" customHeight="1" x14ac:dyDescent="0.3">
      <c r="C595" s="1"/>
      <c r="G595" s="3"/>
      <c r="H595" s="1"/>
    </row>
    <row r="596" spans="3:8" ht="15.75" customHeight="1" x14ac:dyDescent="0.3">
      <c r="C596" s="1"/>
      <c r="G596" s="3"/>
      <c r="H596" s="1"/>
    </row>
    <row r="597" spans="3:8" ht="15.75" customHeight="1" x14ac:dyDescent="0.3">
      <c r="C597" s="1"/>
      <c r="G597" s="3"/>
      <c r="H597" s="1"/>
    </row>
    <row r="598" spans="3:8" ht="15.75" customHeight="1" x14ac:dyDescent="0.3">
      <c r="C598" s="1"/>
      <c r="G598" s="3"/>
      <c r="H598" s="1"/>
    </row>
    <row r="599" spans="3:8" ht="15.75" customHeight="1" x14ac:dyDescent="0.3">
      <c r="C599" s="1"/>
      <c r="G599" s="3"/>
      <c r="H599" s="1"/>
    </row>
    <row r="600" spans="3:8" ht="15.75" customHeight="1" x14ac:dyDescent="0.3">
      <c r="C600" s="1"/>
      <c r="G600" s="3"/>
      <c r="H600" s="1"/>
    </row>
    <row r="601" spans="3:8" ht="15.75" customHeight="1" x14ac:dyDescent="0.3">
      <c r="C601" s="1"/>
      <c r="G601" s="3"/>
      <c r="H601" s="1"/>
    </row>
    <row r="602" spans="3:8" ht="15.75" customHeight="1" x14ac:dyDescent="0.3">
      <c r="C602" s="1"/>
      <c r="G602" s="3"/>
      <c r="H602" s="1"/>
    </row>
    <row r="603" spans="3:8" ht="15.75" customHeight="1" x14ac:dyDescent="0.3">
      <c r="C603" s="1"/>
      <c r="G603" s="3"/>
      <c r="H603" s="1"/>
    </row>
    <row r="604" spans="3:8" ht="15.75" customHeight="1" x14ac:dyDescent="0.3">
      <c r="C604" s="1"/>
      <c r="G604" s="3"/>
      <c r="H604" s="1"/>
    </row>
    <row r="605" spans="3:8" ht="15.75" customHeight="1" x14ac:dyDescent="0.3">
      <c r="C605" s="1"/>
      <c r="G605" s="3"/>
      <c r="H605" s="1"/>
    </row>
    <row r="606" spans="3:8" ht="15.75" customHeight="1" x14ac:dyDescent="0.3">
      <c r="C606" s="1"/>
      <c r="G606" s="3"/>
      <c r="H606" s="1"/>
    </row>
    <row r="607" spans="3:8" ht="15.75" customHeight="1" x14ac:dyDescent="0.3">
      <c r="C607" s="1"/>
      <c r="G607" s="3"/>
      <c r="H607" s="1"/>
    </row>
    <row r="608" spans="3:8" ht="15.75" customHeight="1" x14ac:dyDescent="0.3">
      <c r="C608" s="1"/>
      <c r="G608" s="3"/>
      <c r="H608" s="1"/>
    </row>
    <row r="609" spans="3:8" ht="15.75" customHeight="1" x14ac:dyDescent="0.3">
      <c r="C609" s="1"/>
      <c r="G609" s="3"/>
      <c r="H609" s="1"/>
    </row>
    <row r="610" spans="3:8" ht="15.75" customHeight="1" x14ac:dyDescent="0.3">
      <c r="C610" s="1"/>
      <c r="G610" s="3"/>
      <c r="H610" s="1"/>
    </row>
    <row r="611" spans="3:8" ht="15.75" customHeight="1" x14ac:dyDescent="0.3">
      <c r="C611" s="1"/>
      <c r="G611" s="3"/>
      <c r="H611" s="1"/>
    </row>
    <row r="612" spans="3:8" ht="15.75" customHeight="1" x14ac:dyDescent="0.3">
      <c r="C612" s="1"/>
      <c r="G612" s="3"/>
      <c r="H612" s="1"/>
    </row>
    <row r="613" spans="3:8" ht="15.75" customHeight="1" x14ac:dyDescent="0.3">
      <c r="C613" s="1"/>
      <c r="G613" s="3"/>
      <c r="H613" s="1"/>
    </row>
    <row r="614" spans="3:8" ht="15.75" customHeight="1" x14ac:dyDescent="0.3">
      <c r="C614" s="1"/>
      <c r="G614" s="3"/>
      <c r="H614" s="1"/>
    </row>
    <row r="615" spans="3:8" ht="15.75" customHeight="1" x14ac:dyDescent="0.3">
      <c r="C615" s="1"/>
      <c r="G615" s="3"/>
      <c r="H615" s="1"/>
    </row>
    <row r="616" spans="3:8" ht="15.75" customHeight="1" x14ac:dyDescent="0.3">
      <c r="C616" s="1"/>
      <c r="G616" s="3"/>
      <c r="H616" s="1"/>
    </row>
    <row r="617" spans="3:8" ht="15.75" customHeight="1" x14ac:dyDescent="0.3">
      <c r="C617" s="1"/>
      <c r="G617" s="3"/>
      <c r="H617" s="1"/>
    </row>
    <row r="618" spans="3:8" ht="15.75" customHeight="1" x14ac:dyDescent="0.3">
      <c r="C618" s="1"/>
      <c r="G618" s="3"/>
      <c r="H618" s="1"/>
    </row>
    <row r="619" spans="3:8" ht="15.75" customHeight="1" x14ac:dyDescent="0.3">
      <c r="C619" s="1"/>
      <c r="G619" s="3"/>
      <c r="H619" s="1"/>
    </row>
    <row r="620" spans="3:8" ht="15.75" customHeight="1" x14ac:dyDescent="0.3">
      <c r="C620" s="1"/>
      <c r="G620" s="3"/>
      <c r="H620" s="1"/>
    </row>
    <row r="621" spans="3:8" ht="15.75" customHeight="1" x14ac:dyDescent="0.3">
      <c r="C621" s="1"/>
      <c r="G621" s="3"/>
      <c r="H621" s="1"/>
    </row>
    <row r="622" spans="3:8" ht="15.75" customHeight="1" x14ac:dyDescent="0.3">
      <c r="C622" s="1"/>
      <c r="G622" s="3"/>
      <c r="H622" s="1"/>
    </row>
    <row r="623" spans="3:8" ht="15.75" customHeight="1" x14ac:dyDescent="0.3">
      <c r="C623" s="1"/>
      <c r="G623" s="3"/>
      <c r="H623" s="1"/>
    </row>
    <row r="624" spans="3:8" ht="15.75" customHeight="1" x14ac:dyDescent="0.3">
      <c r="C624" s="1"/>
      <c r="G624" s="3"/>
      <c r="H624" s="1"/>
    </row>
    <row r="625" spans="3:8" ht="15.75" customHeight="1" x14ac:dyDescent="0.3">
      <c r="C625" s="1"/>
      <c r="G625" s="3"/>
      <c r="H625" s="1"/>
    </row>
    <row r="626" spans="3:8" ht="15.75" customHeight="1" x14ac:dyDescent="0.3">
      <c r="C626" s="1"/>
      <c r="G626" s="3"/>
      <c r="H626" s="1"/>
    </row>
    <row r="627" spans="3:8" ht="15.75" customHeight="1" x14ac:dyDescent="0.3">
      <c r="C627" s="1"/>
      <c r="G627" s="3"/>
      <c r="H627" s="1"/>
    </row>
    <row r="628" spans="3:8" ht="15.75" customHeight="1" x14ac:dyDescent="0.3">
      <c r="C628" s="1"/>
      <c r="G628" s="3"/>
      <c r="H628" s="1"/>
    </row>
    <row r="629" spans="3:8" ht="15.75" customHeight="1" x14ac:dyDescent="0.3">
      <c r="C629" s="1"/>
      <c r="G629" s="3"/>
      <c r="H629" s="1"/>
    </row>
    <row r="630" spans="3:8" ht="15.75" customHeight="1" x14ac:dyDescent="0.3">
      <c r="C630" s="1"/>
      <c r="G630" s="3"/>
      <c r="H630" s="1"/>
    </row>
    <row r="631" spans="3:8" ht="15.75" customHeight="1" x14ac:dyDescent="0.3">
      <c r="C631" s="1"/>
      <c r="G631" s="3"/>
      <c r="H631" s="1"/>
    </row>
    <row r="632" spans="3:8" ht="15.75" customHeight="1" x14ac:dyDescent="0.3">
      <c r="C632" s="1"/>
      <c r="G632" s="3"/>
      <c r="H632" s="1"/>
    </row>
    <row r="633" spans="3:8" ht="15.75" customHeight="1" x14ac:dyDescent="0.3">
      <c r="C633" s="1"/>
      <c r="G633" s="3"/>
      <c r="H633" s="1"/>
    </row>
    <row r="634" spans="3:8" ht="15.75" customHeight="1" x14ac:dyDescent="0.3">
      <c r="C634" s="1"/>
      <c r="G634" s="3"/>
      <c r="H634" s="1"/>
    </row>
    <row r="635" spans="3:8" ht="15.75" customHeight="1" x14ac:dyDescent="0.3">
      <c r="C635" s="1"/>
      <c r="G635" s="3"/>
      <c r="H635" s="1"/>
    </row>
    <row r="636" spans="3:8" ht="15.75" customHeight="1" x14ac:dyDescent="0.3">
      <c r="C636" s="1"/>
      <c r="G636" s="3"/>
      <c r="H636" s="1"/>
    </row>
    <row r="637" spans="3:8" ht="15.75" customHeight="1" x14ac:dyDescent="0.3">
      <c r="C637" s="1"/>
      <c r="G637" s="3"/>
      <c r="H637" s="1"/>
    </row>
    <row r="638" spans="3:8" ht="15.75" customHeight="1" x14ac:dyDescent="0.3">
      <c r="C638" s="1"/>
      <c r="G638" s="3"/>
      <c r="H638" s="1"/>
    </row>
    <row r="639" spans="3:8" ht="15.75" customHeight="1" x14ac:dyDescent="0.3">
      <c r="C639" s="1"/>
      <c r="G639" s="3"/>
      <c r="H639" s="1"/>
    </row>
    <row r="640" spans="3:8" ht="15.75" customHeight="1" x14ac:dyDescent="0.3">
      <c r="C640" s="1"/>
      <c r="G640" s="3"/>
      <c r="H640" s="1"/>
    </row>
    <row r="641" spans="3:8" ht="15.75" customHeight="1" x14ac:dyDescent="0.3">
      <c r="C641" s="1"/>
      <c r="G641" s="3"/>
      <c r="H641" s="1"/>
    </row>
    <row r="642" spans="3:8" ht="15.75" customHeight="1" x14ac:dyDescent="0.3">
      <c r="C642" s="1"/>
      <c r="G642" s="3"/>
      <c r="H642" s="1"/>
    </row>
    <row r="643" spans="3:8" ht="15.75" customHeight="1" x14ac:dyDescent="0.3">
      <c r="C643" s="1"/>
      <c r="G643" s="3"/>
      <c r="H643" s="1"/>
    </row>
    <row r="644" spans="3:8" ht="15.75" customHeight="1" x14ac:dyDescent="0.3">
      <c r="C644" s="1"/>
      <c r="G644" s="3"/>
      <c r="H644" s="1"/>
    </row>
    <row r="645" spans="3:8" ht="15.75" customHeight="1" x14ac:dyDescent="0.3">
      <c r="C645" s="1"/>
      <c r="G645" s="3"/>
      <c r="H645" s="1"/>
    </row>
    <row r="646" spans="3:8" ht="15.75" customHeight="1" x14ac:dyDescent="0.3">
      <c r="C646" s="1"/>
      <c r="G646" s="3"/>
      <c r="H646" s="1"/>
    </row>
    <row r="647" spans="3:8" ht="15.75" customHeight="1" x14ac:dyDescent="0.3">
      <c r="C647" s="1"/>
      <c r="G647" s="3"/>
      <c r="H647" s="1"/>
    </row>
    <row r="648" spans="3:8" ht="15.75" customHeight="1" x14ac:dyDescent="0.3">
      <c r="C648" s="1"/>
      <c r="G648" s="3"/>
      <c r="H648" s="1"/>
    </row>
    <row r="649" spans="3:8" ht="15.75" customHeight="1" x14ac:dyDescent="0.3">
      <c r="C649" s="1"/>
      <c r="G649" s="3"/>
      <c r="H649" s="1"/>
    </row>
    <row r="650" spans="3:8" ht="15.75" customHeight="1" x14ac:dyDescent="0.3">
      <c r="C650" s="1"/>
      <c r="G650" s="3"/>
      <c r="H650" s="1"/>
    </row>
    <row r="651" spans="3:8" ht="15.75" customHeight="1" x14ac:dyDescent="0.3">
      <c r="C651" s="1"/>
      <c r="G651" s="3"/>
      <c r="H651" s="1"/>
    </row>
    <row r="652" spans="3:8" ht="15.75" customHeight="1" x14ac:dyDescent="0.3">
      <c r="C652" s="1"/>
      <c r="G652" s="3"/>
      <c r="H652" s="1"/>
    </row>
    <row r="653" spans="3:8" ht="15.75" customHeight="1" x14ac:dyDescent="0.3">
      <c r="C653" s="1"/>
      <c r="G653" s="3"/>
      <c r="H653" s="1"/>
    </row>
    <row r="654" spans="3:8" ht="15.75" customHeight="1" x14ac:dyDescent="0.3">
      <c r="C654" s="1"/>
      <c r="G654" s="3"/>
      <c r="H654" s="1"/>
    </row>
    <row r="655" spans="3:8" ht="15.75" customHeight="1" x14ac:dyDescent="0.3">
      <c r="C655" s="1"/>
      <c r="G655" s="3"/>
      <c r="H655" s="1"/>
    </row>
    <row r="656" spans="3:8" ht="15.75" customHeight="1" x14ac:dyDescent="0.3">
      <c r="C656" s="1"/>
      <c r="G656" s="3"/>
      <c r="H656" s="1"/>
    </row>
    <row r="657" spans="3:8" ht="15.75" customHeight="1" x14ac:dyDescent="0.3">
      <c r="C657" s="1"/>
      <c r="G657" s="3"/>
      <c r="H657" s="1"/>
    </row>
    <row r="658" spans="3:8" ht="15.75" customHeight="1" x14ac:dyDescent="0.3">
      <c r="C658" s="1"/>
      <c r="G658" s="3"/>
      <c r="H658" s="1"/>
    </row>
    <row r="659" spans="3:8" ht="15.75" customHeight="1" x14ac:dyDescent="0.3">
      <c r="C659" s="1"/>
      <c r="G659" s="3"/>
      <c r="H659" s="1"/>
    </row>
    <row r="660" spans="3:8" ht="15.75" customHeight="1" x14ac:dyDescent="0.3">
      <c r="C660" s="1"/>
      <c r="G660" s="3"/>
      <c r="H660" s="1"/>
    </row>
    <row r="661" spans="3:8" ht="15.75" customHeight="1" x14ac:dyDescent="0.3">
      <c r="C661" s="1"/>
      <c r="G661" s="3"/>
      <c r="H661" s="1"/>
    </row>
    <row r="662" spans="3:8" ht="15.75" customHeight="1" x14ac:dyDescent="0.3">
      <c r="C662" s="1"/>
      <c r="G662" s="3"/>
      <c r="H662" s="1"/>
    </row>
    <row r="663" spans="3:8" ht="15.75" customHeight="1" x14ac:dyDescent="0.3">
      <c r="C663" s="1"/>
      <c r="G663" s="3"/>
      <c r="H663" s="1"/>
    </row>
    <row r="664" spans="3:8" ht="15.75" customHeight="1" x14ac:dyDescent="0.3">
      <c r="C664" s="1"/>
      <c r="G664" s="3"/>
      <c r="H664" s="1"/>
    </row>
    <row r="665" spans="3:8" ht="15.75" customHeight="1" x14ac:dyDescent="0.3">
      <c r="C665" s="1"/>
      <c r="G665" s="3"/>
      <c r="H665" s="1"/>
    </row>
    <row r="666" spans="3:8" ht="15.75" customHeight="1" x14ac:dyDescent="0.3">
      <c r="C666" s="1"/>
      <c r="G666" s="3"/>
      <c r="H666" s="1"/>
    </row>
    <row r="667" spans="3:8" ht="15.75" customHeight="1" x14ac:dyDescent="0.3">
      <c r="C667" s="1"/>
      <c r="G667" s="3"/>
      <c r="H667" s="1"/>
    </row>
    <row r="668" spans="3:8" ht="15.75" customHeight="1" x14ac:dyDescent="0.3">
      <c r="C668" s="1"/>
      <c r="G668" s="3"/>
      <c r="H668" s="1"/>
    </row>
    <row r="669" spans="3:8" ht="15.75" customHeight="1" x14ac:dyDescent="0.3">
      <c r="C669" s="1"/>
      <c r="G669" s="3"/>
      <c r="H669" s="1"/>
    </row>
    <row r="670" spans="3:8" ht="15.75" customHeight="1" x14ac:dyDescent="0.3">
      <c r="C670" s="1"/>
      <c r="G670" s="3"/>
      <c r="H670" s="1"/>
    </row>
    <row r="671" spans="3:8" ht="15.75" customHeight="1" x14ac:dyDescent="0.3">
      <c r="C671" s="1"/>
      <c r="G671" s="3"/>
      <c r="H671" s="1"/>
    </row>
    <row r="672" spans="3:8" ht="15.75" customHeight="1" x14ac:dyDescent="0.3">
      <c r="C672" s="1"/>
      <c r="G672" s="3"/>
      <c r="H672" s="1"/>
    </row>
    <row r="673" spans="3:8" ht="15.75" customHeight="1" x14ac:dyDescent="0.3">
      <c r="C673" s="1"/>
      <c r="G673" s="3"/>
      <c r="H673" s="1"/>
    </row>
    <row r="674" spans="3:8" ht="15.75" customHeight="1" x14ac:dyDescent="0.3">
      <c r="C674" s="1"/>
      <c r="G674" s="3"/>
      <c r="H674" s="1"/>
    </row>
    <row r="675" spans="3:8" ht="15.75" customHeight="1" x14ac:dyDescent="0.3">
      <c r="C675" s="1"/>
      <c r="G675" s="3"/>
      <c r="H675" s="1"/>
    </row>
    <row r="676" spans="3:8" ht="15.75" customHeight="1" x14ac:dyDescent="0.3">
      <c r="C676" s="1"/>
      <c r="G676" s="3"/>
      <c r="H676" s="1"/>
    </row>
    <row r="677" spans="3:8" ht="15.75" customHeight="1" x14ac:dyDescent="0.3">
      <c r="C677" s="1"/>
      <c r="G677" s="3"/>
      <c r="H677" s="1"/>
    </row>
    <row r="678" spans="3:8" ht="15.75" customHeight="1" x14ac:dyDescent="0.3">
      <c r="C678" s="1"/>
      <c r="G678" s="3"/>
      <c r="H678" s="1"/>
    </row>
    <row r="679" spans="3:8" ht="15.75" customHeight="1" x14ac:dyDescent="0.3">
      <c r="C679" s="1"/>
      <c r="G679" s="3"/>
      <c r="H679" s="1"/>
    </row>
    <row r="680" spans="3:8" ht="15.75" customHeight="1" x14ac:dyDescent="0.3">
      <c r="C680" s="1"/>
      <c r="G680" s="3"/>
      <c r="H680" s="1"/>
    </row>
    <row r="681" spans="3:8" ht="15.75" customHeight="1" x14ac:dyDescent="0.3">
      <c r="C681" s="1"/>
      <c r="G681" s="3"/>
      <c r="H681" s="1"/>
    </row>
    <row r="682" spans="3:8" ht="15.75" customHeight="1" x14ac:dyDescent="0.3">
      <c r="C682" s="1"/>
      <c r="G682" s="3"/>
      <c r="H682" s="1"/>
    </row>
    <row r="683" spans="3:8" ht="15.75" customHeight="1" x14ac:dyDescent="0.3">
      <c r="C683" s="1"/>
      <c r="G683" s="3"/>
      <c r="H683" s="1"/>
    </row>
    <row r="684" spans="3:8" ht="15.75" customHeight="1" x14ac:dyDescent="0.3">
      <c r="C684" s="1"/>
      <c r="G684" s="3"/>
      <c r="H684" s="1"/>
    </row>
    <row r="685" spans="3:8" ht="15.75" customHeight="1" x14ac:dyDescent="0.3">
      <c r="C685" s="1"/>
      <c r="G685" s="3"/>
      <c r="H685" s="1"/>
    </row>
    <row r="686" spans="3:8" ht="15.75" customHeight="1" x14ac:dyDescent="0.3">
      <c r="C686" s="1"/>
      <c r="G686" s="3"/>
      <c r="H686" s="1"/>
    </row>
    <row r="687" spans="3:8" ht="15.75" customHeight="1" x14ac:dyDescent="0.3">
      <c r="C687" s="1"/>
      <c r="G687" s="3"/>
      <c r="H687" s="1"/>
    </row>
    <row r="688" spans="3:8" ht="15.75" customHeight="1" x14ac:dyDescent="0.3">
      <c r="C688" s="1"/>
      <c r="G688" s="3"/>
      <c r="H688" s="1"/>
    </row>
    <row r="689" spans="3:8" ht="15.75" customHeight="1" x14ac:dyDescent="0.3">
      <c r="C689" s="1"/>
      <c r="G689" s="3"/>
      <c r="H689" s="1"/>
    </row>
    <row r="690" spans="3:8" ht="15.75" customHeight="1" x14ac:dyDescent="0.3">
      <c r="C690" s="1"/>
      <c r="G690" s="3"/>
      <c r="H690" s="1"/>
    </row>
    <row r="691" spans="3:8" ht="15.75" customHeight="1" x14ac:dyDescent="0.3">
      <c r="C691" s="1"/>
      <c r="G691" s="3"/>
      <c r="H691" s="1"/>
    </row>
    <row r="692" spans="3:8" ht="15.75" customHeight="1" x14ac:dyDescent="0.3">
      <c r="C692" s="1"/>
      <c r="G692" s="3"/>
      <c r="H692" s="1"/>
    </row>
    <row r="693" spans="3:8" ht="15.75" customHeight="1" x14ac:dyDescent="0.3">
      <c r="C693" s="1"/>
      <c r="G693" s="3"/>
      <c r="H693" s="1"/>
    </row>
    <row r="694" spans="3:8" ht="15.75" customHeight="1" x14ac:dyDescent="0.3">
      <c r="C694" s="1"/>
      <c r="G694" s="3"/>
      <c r="H694" s="1"/>
    </row>
    <row r="695" spans="3:8" ht="15.75" customHeight="1" x14ac:dyDescent="0.3">
      <c r="C695" s="1"/>
      <c r="G695" s="3"/>
      <c r="H695" s="1"/>
    </row>
    <row r="696" spans="3:8" ht="15.75" customHeight="1" x14ac:dyDescent="0.3">
      <c r="C696" s="1"/>
      <c r="G696" s="3"/>
      <c r="H696" s="1"/>
    </row>
    <row r="697" spans="3:8" ht="15.75" customHeight="1" x14ac:dyDescent="0.3">
      <c r="C697" s="1"/>
      <c r="G697" s="3"/>
      <c r="H697" s="1"/>
    </row>
    <row r="698" spans="3:8" ht="15.75" customHeight="1" x14ac:dyDescent="0.3">
      <c r="C698" s="1"/>
      <c r="G698" s="3"/>
      <c r="H698" s="1"/>
    </row>
    <row r="699" spans="3:8" ht="15.75" customHeight="1" x14ac:dyDescent="0.3">
      <c r="C699" s="1"/>
      <c r="G699" s="3"/>
      <c r="H699" s="1"/>
    </row>
    <row r="700" spans="3:8" ht="15.75" customHeight="1" x14ac:dyDescent="0.3">
      <c r="C700" s="1"/>
      <c r="G700" s="3"/>
      <c r="H700" s="1"/>
    </row>
    <row r="701" spans="3:8" ht="15.75" customHeight="1" x14ac:dyDescent="0.3">
      <c r="C701" s="1"/>
      <c r="G701" s="3"/>
      <c r="H701" s="1"/>
    </row>
    <row r="702" spans="3:8" ht="15.75" customHeight="1" x14ac:dyDescent="0.3">
      <c r="C702" s="1"/>
      <c r="G702" s="3"/>
      <c r="H702" s="1"/>
    </row>
    <row r="703" spans="3:8" ht="15.75" customHeight="1" x14ac:dyDescent="0.3">
      <c r="C703" s="1"/>
      <c r="G703" s="3"/>
      <c r="H703" s="1"/>
    </row>
    <row r="704" spans="3:8" ht="15.75" customHeight="1" x14ac:dyDescent="0.3">
      <c r="C704" s="1"/>
      <c r="G704" s="3"/>
      <c r="H704" s="1"/>
    </row>
    <row r="705" spans="3:8" ht="15.75" customHeight="1" x14ac:dyDescent="0.3">
      <c r="C705" s="1"/>
      <c r="G705" s="3"/>
      <c r="H705" s="1"/>
    </row>
    <row r="706" spans="3:8" ht="15.75" customHeight="1" x14ac:dyDescent="0.3">
      <c r="C706" s="1"/>
      <c r="G706" s="3"/>
      <c r="H706" s="1"/>
    </row>
    <row r="707" spans="3:8" ht="15.75" customHeight="1" x14ac:dyDescent="0.3">
      <c r="C707" s="1"/>
      <c r="G707" s="3"/>
      <c r="H707" s="1"/>
    </row>
    <row r="708" spans="3:8" ht="15.75" customHeight="1" x14ac:dyDescent="0.3">
      <c r="C708" s="1"/>
      <c r="G708" s="3"/>
      <c r="H708" s="1"/>
    </row>
    <row r="709" spans="3:8" ht="15.75" customHeight="1" x14ac:dyDescent="0.3">
      <c r="C709" s="1"/>
      <c r="G709" s="3"/>
      <c r="H709" s="1"/>
    </row>
    <row r="710" spans="3:8" ht="15.75" customHeight="1" x14ac:dyDescent="0.3">
      <c r="C710" s="1"/>
      <c r="G710" s="3"/>
      <c r="H710" s="1"/>
    </row>
    <row r="711" spans="3:8" ht="15.75" customHeight="1" x14ac:dyDescent="0.3">
      <c r="C711" s="1"/>
      <c r="G711" s="3"/>
      <c r="H711" s="1"/>
    </row>
    <row r="712" spans="3:8" ht="15.75" customHeight="1" x14ac:dyDescent="0.3">
      <c r="C712" s="1"/>
      <c r="G712" s="3"/>
      <c r="H712" s="1"/>
    </row>
    <row r="713" spans="3:8" ht="15.75" customHeight="1" x14ac:dyDescent="0.3">
      <c r="C713" s="1"/>
      <c r="G713" s="3"/>
      <c r="H713" s="1"/>
    </row>
    <row r="714" spans="3:8" ht="15.75" customHeight="1" x14ac:dyDescent="0.3">
      <c r="C714" s="1"/>
      <c r="G714" s="3"/>
      <c r="H714" s="1"/>
    </row>
    <row r="715" spans="3:8" ht="15.75" customHeight="1" x14ac:dyDescent="0.3">
      <c r="C715" s="1"/>
      <c r="G715" s="3"/>
      <c r="H715" s="1"/>
    </row>
    <row r="716" spans="3:8" ht="15.75" customHeight="1" x14ac:dyDescent="0.3">
      <c r="C716" s="1"/>
      <c r="G716" s="3"/>
      <c r="H716" s="1"/>
    </row>
    <row r="717" spans="3:8" ht="15.75" customHeight="1" x14ac:dyDescent="0.3">
      <c r="C717" s="1"/>
      <c r="G717" s="3"/>
      <c r="H717" s="1"/>
    </row>
    <row r="718" spans="3:8" ht="15.75" customHeight="1" x14ac:dyDescent="0.3">
      <c r="C718" s="1"/>
      <c r="G718" s="3"/>
      <c r="H718" s="1"/>
    </row>
    <row r="719" spans="3:8" ht="15.75" customHeight="1" x14ac:dyDescent="0.3">
      <c r="C719" s="1"/>
      <c r="G719" s="3"/>
      <c r="H719" s="1"/>
    </row>
    <row r="720" spans="3:8" ht="15.75" customHeight="1" x14ac:dyDescent="0.3">
      <c r="C720" s="1"/>
      <c r="G720" s="3"/>
      <c r="H720" s="1"/>
    </row>
    <row r="721" spans="3:8" ht="15.75" customHeight="1" x14ac:dyDescent="0.3">
      <c r="C721" s="1"/>
      <c r="G721" s="3"/>
      <c r="H721" s="1"/>
    </row>
    <row r="722" spans="3:8" ht="15.75" customHeight="1" x14ac:dyDescent="0.3">
      <c r="C722" s="1"/>
      <c r="G722" s="3"/>
      <c r="H722" s="1"/>
    </row>
    <row r="723" spans="3:8" ht="15.75" customHeight="1" x14ac:dyDescent="0.3">
      <c r="C723" s="1"/>
      <c r="G723" s="3"/>
      <c r="H723" s="1"/>
    </row>
    <row r="724" spans="3:8" ht="15.75" customHeight="1" x14ac:dyDescent="0.3">
      <c r="C724" s="1"/>
      <c r="G724" s="3"/>
      <c r="H724" s="1"/>
    </row>
    <row r="725" spans="3:8" ht="15.75" customHeight="1" x14ac:dyDescent="0.3">
      <c r="C725" s="1"/>
      <c r="G725" s="3"/>
      <c r="H725" s="1"/>
    </row>
    <row r="726" spans="3:8" ht="15.75" customHeight="1" x14ac:dyDescent="0.3">
      <c r="C726" s="1"/>
      <c r="G726" s="3"/>
      <c r="H726" s="1"/>
    </row>
    <row r="727" spans="3:8" ht="15.75" customHeight="1" x14ac:dyDescent="0.3">
      <c r="C727" s="1"/>
      <c r="G727" s="3"/>
      <c r="H727" s="1"/>
    </row>
    <row r="728" spans="3:8" ht="15.75" customHeight="1" x14ac:dyDescent="0.3">
      <c r="C728" s="1"/>
      <c r="G728" s="3"/>
      <c r="H728" s="1"/>
    </row>
    <row r="729" spans="3:8" ht="15.75" customHeight="1" x14ac:dyDescent="0.3">
      <c r="C729" s="1"/>
      <c r="G729" s="3"/>
      <c r="H729" s="1"/>
    </row>
    <row r="730" spans="3:8" ht="15.75" customHeight="1" x14ac:dyDescent="0.3">
      <c r="C730" s="1"/>
      <c r="G730" s="3"/>
      <c r="H730" s="1"/>
    </row>
    <row r="731" spans="3:8" ht="15.75" customHeight="1" x14ac:dyDescent="0.3">
      <c r="C731" s="1"/>
      <c r="G731" s="3"/>
      <c r="H731" s="1"/>
    </row>
    <row r="732" spans="3:8" ht="15.75" customHeight="1" x14ac:dyDescent="0.3">
      <c r="C732" s="1"/>
      <c r="G732" s="3"/>
      <c r="H732" s="1"/>
    </row>
    <row r="733" spans="3:8" ht="15.75" customHeight="1" x14ac:dyDescent="0.3">
      <c r="C733" s="1"/>
      <c r="G733" s="3"/>
      <c r="H733" s="1"/>
    </row>
    <row r="734" spans="3:8" ht="15.75" customHeight="1" x14ac:dyDescent="0.3">
      <c r="C734" s="1"/>
      <c r="G734" s="3"/>
      <c r="H734" s="1"/>
    </row>
    <row r="735" spans="3:8" ht="15.75" customHeight="1" x14ac:dyDescent="0.3">
      <c r="C735" s="1"/>
      <c r="G735" s="3"/>
      <c r="H735" s="1"/>
    </row>
    <row r="736" spans="3:8" ht="15.75" customHeight="1" x14ac:dyDescent="0.3">
      <c r="C736" s="1"/>
      <c r="G736" s="3"/>
      <c r="H736" s="1"/>
    </row>
    <row r="737" spans="3:8" ht="15.75" customHeight="1" x14ac:dyDescent="0.3">
      <c r="C737" s="1"/>
      <c r="G737" s="3"/>
      <c r="H737" s="1"/>
    </row>
    <row r="738" spans="3:8" ht="15.75" customHeight="1" x14ac:dyDescent="0.3">
      <c r="C738" s="1"/>
      <c r="G738" s="3"/>
      <c r="H738" s="1"/>
    </row>
    <row r="739" spans="3:8" ht="15.75" customHeight="1" x14ac:dyDescent="0.3">
      <c r="C739" s="1"/>
      <c r="G739" s="3"/>
      <c r="H739" s="1"/>
    </row>
    <row r="740" spans="3:8" ht="15.75" customHeight="1" x14ac:dyDescent="0.3">
      <c r="C740" s="1"/>
      <c r="G740" s="3"/>
      <c r="H740" s="1"/>
    </row>
    <row r="741" spans="3:8" ht="15.75" customHeight="1" x14ac:dyDescent="0.3">
      <c r="C741" s="1"/>
      <c r="G741" s="3"/>
      <c r="H741" s="1"/>
    </row>
    <row r="742" spans="3:8" ht="15.75" customHeight="1" x14ac:dyDescent="0.3">
      <c r="C742" s="1"/>
      <c r="G742" s="3"/>
      <c r="H742" s="1"/>
    </row>
    <row r="743" spans="3:8" ht="15.75" customHeight="1" x14ac:dyDescent="0.3">
      <c r="C743" s="1"/>
      <c r="G743" s="3"/>
      <c r="H743" s="1"/>
    </row>
    <row r="744" spans="3:8" ht="15.75" customHeight="1" x14ac:dyDescent="0.3">
      <c r="C744" s="1"/>
      <c r="G744" s="3"/>
      <c r="H744" s="1"/>
    </row>
    <row r="745" spans="3:8" ht="15.75" customHeight="1" x14ac:dyDescent="0.3">
      <c r="C745" s="1"/>
      <c r="G745" s="3"/>
      <c r="H745" s="1"/>
    </row>
    <row r="746" spans="3:8" ht="15.75" customHeight="1" x14ac:dyDescent="0.3">
      <c r="C746" s="1"/>
      <c r="G746" s="3"/>
      <c r="H746" s="1"/>
    </row>
    <row r="747" spans="3:8" ht="15.75" customHeight="1" x14ac:dyDescent="0.3">
      <c r="C747" s="1"/>
      <c r="G747" s="3"/>
      <c r="H747" s="1"/>
    </row>
    <row r="748" spans="3:8" ht="15.75" customHeight="1" x14ac:dyDescent="0.3">
      <c r="C748" s="1"/>
      <c r="G748" s="3"/>
      <c r="H748" s="1"/>
    </row>
    <row r="749" spans="3:8" ht="15.75" customHeight="1" x14ac:dyDescent="0.3">
      <c r="C749" s="1"/>
      <c r="G749" s="3"/>
      <c r="H749" s="1"/>
    </row>
    <row r="750" spans="3:8" ht="15.75" customHeight="1" x14ac:dyDescent="0.3">
      <c r="C750" s="1"/>
      <c r="G750" s="3"/>
      <c r="H750" s="1"/>
    </row>
    <row r="751" spans="3:8" ht="15.75" customHeight="1" x14ac:dyDescent="0.3">
      <c r="C751" s="1"/>
      <c r="G751" s="3"/>
      <c r="H751" s="1"/>
    </row>
    <row r="752" spans="3:8" ht="15.75" customHeight="1" x14ac:dyDescent="0.3">
      <c r="C752" s="1"/>
      <c r="G752" s="3"/>
      <c r="H752" s="1"/>
    </row>
    <row r="753" spans="3:8" ht="15.75" customHeight="1" x14ac:dyDescent="0.3">
      <c r="C753" s="1"/>
      <c r="G753" s="3"/>
      <c r="H753" s="1"/>
    </row>
    <row r="754" spans="3:8" ht="15.75" customHeight="1" x14ac:dyDescent="0.3">
      <c r="C754" s="1"/>
      <c r="G754" s="3"/>
      <c r="H754" s="1"/>
    </row>
    <row r="755" spans="3:8" ht="15.75" customHeight="1" x14ac:dyDescent="0.3">
      <c r="C755" s="1"/>
      <c r="G755" s="3"/>
      <c r="H755" s="1"/>
    </row>
    <row r="756" spans="3:8" ht="15.75" customHeight="1" x14ac:dyDescent="0.3">
      <c r="C756" s="1"/>
      <c r="G756" s="3"/>
      <c r="H756" s="1"/>
    </row>
    <row r="757" spans="3:8" ht="15.75" customHeight="1" x14ac:dyDescent="0.3">
      <c r="C757" s="1"/>
      <c r="G757" s="3"/>
      <c r="H757" s="1"/>
    </row>
    <row r="758" spans="3:8" ht="15.75" customHeight="1" x14ac:dyDescent="0.3">
      <c r="C758" s="1"/>
      <c r="G758" s="3"/>
      <c r="H758" s="1"/>
    </row>
    <row r="759" spans="3:8" ht="15.75" customHeight="1" x14ac:dyDescent="0.3">
      <c r="C759" s="1"/>
      <c r="G759" s="3"/>
      <c r="H759" s="1"/>
    </row>
    <row r="760" spans="3:8" ht="15.75" customHeight="1" x14ac:dyDescent="0.3">
      <c r="C760" s="1"/>
      <c r="G760" s="3"/>
      <c r="H760" s="1"/>
    </row>
    <row r="761" spans="3:8" ht="15.75" customHeight="1" x14ac:dyDescent="0.3">
      <c r="C761" s="1"/>
      <c r="G761" s="3"/>
      <c r="H761" s="1"/>
    </row>
    <row r="762" spans="3:8" ht="15.75" customHeight="1" x14ac:dyDescent="0.3">
      <c r="C762" s="1"/>
      <c r="G762" s="3"/>
      <c r="H762" s="1"/>
    </row>
    <row r="763" spans="3:8" ht="15.75" customHeight="1" x14ac:dyDescent="0.3">
      <c r="C763" s="1"/>
      <c r="G763" s="3"/>
      <c r="H763" s="1"/>
    </row>
    <row r="764" spans="3:8" ht="15.75" customHeight="1" x14ac:dyDescent="0.3">
      <c r="C764" s="1"/>
      <c r="G764" s="3"/>
      <c r="H764" s="1"/>
    </row>
    <row r="765" spans="3:8" ht="15.75" customHeight="1" x14ac:dyDescent="0.3">
      <c r="C765" s="1"/>
      <c r="G765" s="3"/>
      <c r="H765" s="1"/>
    </row>
    <row r="766" spans="3:8" ht="15.75" customHeight="1" x14ac:dyDescent="0.3">
      <c r="C766" s="1"/>
      <c r="G766" s="3"/>
      <c r="H766" s="1"/>
    </row>
    <row r="767" spans="3:8" ht="15.75" customHeight="1" x14ac:dyDescent="0.3">
      <c r="C767" s="1"/>
      <c r="G767" s="3"/>
      <c r="H767" s="1"/>
    </row>
    <row r="768" spans="3:8" ht="15.75" customHeight="1" x14ac:dyDescent="0.3">
      <c r="C768" s="1"/>
      <c r="G768" s="3"/>
      <c r="H768" s="1"/>
    </row>
    <row r="769" spans="3:8" ht="15.75" customHeight="1" x14ac:dyDescent="0.3">
      <c r="C769" s="1"/>
      <c r="G769" s="3"/>
      <c r="H769" s="1"/>
    </row>
    <row r="770" spans="3:8" ht="15.75" customHeight="1" x14ac:dyDescent="0.3">
      <c r="C770" s="1"/>
      <c r="G770" s="3"/>
      <c r="H770" s="1"/>
    </row>
    <row r="771" spans="3:8" ht="15.75" customHeight="1" x14ac:dyDescent="0.3">
      <c r="C771" s="1"/>
      <c r="G771" s="3"/>
      <c r="H771" s="1"/>
    </row>
    <row r="772" spans="3:8" ht="15.75" customHeight="1" x14ac:dyDescent="0.3">
      <c r="C772" s="1"/>
      <c r="G772" s="3"/>
      <c r="H772" s="1"/>
    </row>
    <row r="773" spans="3:8" ht="15.75" customHeight="1" x14ac:dyDescent="0.3">
      <c r="C773" s="1"/>
      <c r="G773" s="3"/>
      <c r="H773" s="1"/>
    </row>
    <row r="774" spans="3:8" ht="15.75" customHeight="1" x14ac:dyDescent="0.3">
      <c r="C774" s="1"/>
      <c r="G774" s="3"/>
      <c r="H774" s="1"/>
    </row>
    <row r="775" spans="3:8" ht="15.75" customHeight="1" x14ac:dyDescent="0.3">
      <c r="C775" s="1"/>
      <c r="G775" s="3"/>
      <c r="H775" s="1"/>
    </row>
    <row r="776" spans="3:8" ht="15.75" customHeight="1" x14ac:dyDescent="0.3">
      <c r="C776" s="1"/>
      <c r="G776" s="3"/>
      <c r="H776" s="1"/>
    </row>
    <row r="777" spans="3:8" ht="15.75" customHeight="1" x14ac:dyDescent="0.3">
      <c r="C777" s="1"/>
      <c r="G777" s="3"/>
      <c r="H777" s="1"/>
    </row>
    <row r="778" spans="3:8" ht="15.75" customHeight="1" x14ac:dyDescent="0.3">
      <c r="C778" s="1"/>
      <c r="G778" s="3"/>
      <c r="H778" s="1"/>
    </row>
    <row r="779" spans="3:8" ht="15.75" customHeight="1" x14ac:dyDescent="0.3">
      <c r="C779" s="1"/>
      <c r="G779" s="3"/>
      <c r="H779" s="1"/>
    </row>
    <row r="780" spans="3:8" ht="15.75" customHeight="1" x14ac:dyDescent="0.3">
      <c r="C780" s="1"/>
      <c r="G780" s="3"/>
      <c r="H780" s="1"/>
    </row>
    <row r="781" spans="3:8" ht="15.75" customHeight="1" x14ac:dyDescent="0.3">
      <c r="C781" s="1"/>
      <c r="G781" s="3"/>
      <c r="H781" s="1"/>
    </row>
    <row r="782" spans="3:8" ht="15.75" customHeight="1" x14ac:dyDescent="0.3">
      <c r="C782" s="1"/>
      <c r="G782" s="3"/>
      <c r="H782" s="1"/>
    </row>
    <row r="783" spans="3:8" ht="15.75" customHeight="1" x14ac:dyDescent="0.3">
      <c r="C783" s="1"/>
      <c r="G783" s="3"/>
      <c r="H783" s="1"/>
    </row>
    <row r="784" spans="3:8" ht="15.75" customHeight="1" x14ac:dyDescent="0.3">
      <c r="C784" s="1"/>
      <c r="G784" s="3"/>
      <c r="H784" s="1"/>
    </row>
    <row r="785" spans="3:8" ht="15.75" customHeight="1" x14ac:dyDescent="0.3">
      <c r="C785" s="1"/>
      <c r="G785" s="3"/>
      <c r="H785" s="1"/>
    </row>
    <row r="786" spans="3:8" ht="15.75" customHeight="1" x14ac:dyDescent="0.3">
      <c r="C786" s="1"/>
      <c r="G786" s="3"/>
      <c r="H786" s="1"/>
    </row>
    <row r="787" spans="3:8" ht="15.75" customHeight="1" x14ac:dyDescent="0.3">
      <c r="C787" s="1"/>
      <c r="G787" s="3"/>
      <c r="H787" s="1"/>
    </row>
    <row r="788" spans="3:8" ht="15.75" customHeight="1" x14ac:dyDescent="0.3">
      <c r="C788" s="1"/>
      <c r="G788" s="3"/>
      <c r="H788" s="1"/>
    </row>
    <row r="789" spans="3:8" ht="15.75" customHeight="1" x14ac:dyDescent="0.3">
      <c r="C789" s="1"/>
      <c r="G789" s="3"/>
      <c r="H789" s="1"/>
    </row>
    <row r="790" spans="3:8" ht="15.75" customHeight="1" x14ac:dyDescent="0.3">
      <c r="C790" s="1"/>
      <c r="G790" s="3"/>
      <c r="H790" s="1"/>
    </row>
    <row r="791" spans="3:8" ht="15.75" customHeight="1" x14ac:dyDescent="0.3">
      <c r="C791" s="1"/>
      <c r="G791" s="3"/>
      <c r="H791" s="1"/>
    </row>
    <row r="792" spans="3:8" ht="15.75" customHeight="1" x14ac:dyDescent="0.3">
      <c r="C792" s="1"/>
      <c r="G792" s="3"/>
      <c r="H792" s="1"/>
    </row>
    <row r="793" spans="3:8" ht="15.75" customHeight="1" x14ac:dyDescent="0.3">
      <c r="C793" s="1"/>
      <c r="G793" s="3"/>
      <c r="H793" s="1"/>
    </row>
    <row r="794" spans="3:8" ht="15.75" customHeight="1" x14ac:dyDescent="0.3">
      <c r="C794" s="1"/>
      <c r="G794" s="3"/>
      <c r="H794" s="1"/>
    </row>
    <row r="795" spans="3:8" ht="15.75" customHeight="1" x14ac:dyDescent="0.3">
      <c r="C795" s="1"/>
      <c r="G795" s="3"/>
      <c r="H795" s="1"/>
    </row>
    <row r="796" spans="3:8" ht="15.75" customHeight="1" x14ac:dyDescent="0.3">
      <c r="C796" s="1"/>
      <c r="G796" s="3"/>
      <c r="H796" s="1"/>
    </row>
    <row r="797" spans="3:8" ht="15.75" customHeight="1" x14ac:dyDescent="0.3">
      <c r="C797" s="1"/>
      <c r="G797" s="3"/>
      <c r="H797" s="1"/>
    </row>
    <row r="798" spans="3:8" ht="15.75" customHeight="1" x14ac:dyDescent="0.3">
      <c r="C798" s="1"/>
      <c r="G798" s="3"/>
      <c r="H798" s="1"/>
    </row>
    <row r="799" spans="3:8" ht="15.75" customHeight="1" x14ac:dyDescent="0.3">
      <c r="C799" s="1"/>
      <c r="G799" s="3"/>
      <c r="H799" s="1"/>
    </row>
    <row r="800" spans="3:8" ht="15.75" customHeight="1" x14ac:dyDescent="0.3">
      <c r="C800" s="1"/>
      <c r="G800" s="3"/>
      <c r="H800" s="1"/>
    </row>
    <row r="801" spans="3:8" ht="15.75" customHeight="1" x14ac:dyDescent="0.3">
      <c r="C801" s="1"/>
      <c r="G801" s="3"/>
      <c r="H801" s="1"/>
    </row>
    <row r="802" spans="3:8" ht="15.75" customHeight="1" x14ac:dyDescent="0.3">
      <c r="C802" s="1"/>
      <c r="G802" s="3"/>
      <c r="H802" s="1"/>
    </row>
    <row r="803" spans="3:8" ht="15.75" customHeight="1" x14ac:dyDescent="0.3">
      <c r="C803" s="1"/>
      <c r="G803" s="3"/>
      <c r="H803" s="1"/>
    </row>
    <row r="804" spans="3:8" ht="15.75" customHeight="1" x14ac:dyDescent="0.3">
      <c r="C804" s="1"/>
      <c r="G804" s="3"/>
      <c r="H804" s="1"/>
    </row>
    <row r="805" spans="3:8" ht="15.75" customHeight="1" x14ac:dyDescent="0.3">
      <c r="C805" s="1"/>
      <c r="G805" s="3"/>
      <c r="H805" s="1"/>
    </row>
    <row r="806" spans="3:8" ht="15.75" customHeight="1" x14ac:dyDescent="0.3">
      <c r="C806" s="1"/>
      <c r="G806" s="3"/>
      <c r="H806" s="1"/>
    </row>
    <row r="807" spans="3:8" ht="15.75" customHeight="1" x14ac:dyDescent="0.3">
      <c r="C807" s="1"/>
      <c r="G807" s="3"/>
      <c r="H807" s="1"/>
    </row>
    <row r="808" spans="3:8" ht="15.75" customHeight="1" x14ac:dyDescent="0.3">
      <c r="C808" s="1"/>
      <c r="G808" s="3"/>
      <c r="H808" s="1"/>
    </row>
    <row r="809" spans="3:8" ht="15.75" customHeight="1" x14ac:dyDescent="0.3">
      <c r="C809" s="1"/>
      <c r="G809" s="3"/>
      <c r="H809" s="1"/>
    </row>
    <row r="810" spans="3:8" ht="15.75" customHeight="1" x14ac:dyDescent="0.3">
      <c r="C810" s="1"/>
      <c r="G810" s="3"/>
      <c r="H810" s="1"/>
    </row>
    <row r="811" spans="3:8" ht="15.75" customHeight="1" x14ac:dyDescent="0.3">
      <c r="C811" s="1"/>
      <c r="G811" s="3"/>
      <c r="H811" s="1"/>
    </row>
    <row r="812" spans="3:8" ht="15.75" customHeight="1" x14ac:dyDescent="0.3">
      <c r="C812" s="1"/>
      <c r="G812" s="3"/>
      <c r="H812" s="1"/>
    </row>
    <row r="813" spans="3:8" ht="15.75" customHeight="1" x14ac:dyDescent="0.3">
      <c r="C813" s="1"/>
      <c r="G813" s="3"/>
      <c r="H813" s="1"/>
    </row>
    <row r="814" spans="3:8" ht="15.75" customHeight="1" x14ac:dyDescent="0.3">
      <c r="C814" s="1"/>
      <c r="G814" s="3"/>
      <c r="H814" s="1"/>
    </row>
    <row r="815" spans="3:8" ht="15.75" customHeight="1" x14ac:dyDescent="0.3">
      <c r="C815" s="1"/>
      <c r="G815" s="3"/>
      <c r="H815" s="1"/>
    </row>
    <row r="816" spans="3:8" ht="15.75" customHeight="1" x14ac:dyDescent="0.3">
      <c r="C816" s="1"/>
      <c r="G816" s="3"/>
      <c r="H816" s="1"/>
    </row>
    <row r="817" spans="3:8" ht="15.75" customHeight="1" x14ac:dyDescent="0.3">
      <c r="C817" s="1"/>
      <c r="G817" s="3"/>
      <c r="H817" s="1"/>
    </row>
    <row r="818" spans="3:8" ht="15.75" customHeight="1" x14ac:dyDescent="0.3">
      <c r="C818" s="1"/>
      <c r="G818" s="3"/>
      <c r="H818" s="1"/>
    </row>
    <row r="819" spans="3:8" ht="15.75" customHeight="1" x14ac:dyDescent="0.3">
      <c r="C819" s="1"/>
      <c r="G819" s="3"/>
      <c r="H819" s="1"/>
    </row>
    <row r="820" spans="3:8" ht="15.75" customHeight="1" x14ac:dyDescent="0.3">
      <c r="C820" s="1"/>
      <c r="G820" s="3"/>
      <c r="H820" s="1"/>
    </row>
    <row r="821" spans="3:8" ht="15.75" customHeight="1" x14ac:dyDescent="0.3">
      <c r="C821" s="1"/>
      <c r="G821" s="3"/>
      <c r="H821" s="1"/>
    </row>
    <row r="822" spans="3:8" ht="15.75" customHeight="1" x14ac:dyDescent="0.3">
      <c r="C822" s="1"/>
      <c r="G822" s="3"/>
      <c r="H822" s="1"/>
    </row>
    <row r="823" spans="3:8" ht="15.75" customHeight="1" x14ac:dyDescent="0.3">
      <c r="C823" s="1"/>
      <c r="G823" s="3"/>
      <c r="H823" s="1"/>
    </row>
    <row r="824" spans="3:8" ht="15.75" customHeight="1" x14ac:dyDescent="0.3">
      <c r="C824" s="1"/>
      <c r="G824" s="3"/>
      <c r="H824" s="1"/>
    </row>
    <row r="825" spans="3:8" ht="15.75" customHeight="1" x14ac:dyDescent="0.3">
      <c r="C825" s="1"/>
      <c r="G825" s="3"/>
      <c r="H825" s="1"/>
    </row>
    <row r="826" spans="3:8" ht="15.75" customHeight="1" x14ac:dyDescent="0.3">
      <c r="C826" s="1"/>
      <c r="G826" s="3"/>
      <c r="H826" s="1"/>
    </row>
    <row r="827" spans="3:8" ht="15.75" customHeight="1" x14ac:dyDescent="0.3">
      <c r="C827" s="1"/>
      <c r="G827" s="3"/>
      <c r="H827" s="1"/>
    </row>
    <row r="828" spans="3:8" ht="15.75" customHeight="1" x14ac:dyDescent="0.3">
      <c r="C828" s="1"/>
      <c r="G828" s="3"/>
      <c r="H828" s="1"/>
    </row>
    <row r="829" spans="3:8" ht="15.75" customHeight="1" x14ac:dyDescent="0.3">
      <c r="C829" s="1"/>
      <c r="G829" s="3"/>
      <c r="H829" s="1"/>
    </row>
    <row r="830" spans="3:8" ht="15.75" customHeight="1" x14ac:dyDescent="0.3">
      <c r="C830" s="1"/>
      <c r="G830" s="3"/>
      <c r="H830" s="1"/>
    </row>
    <row r="831" spans="3:8" ht="15.75" customHeight="1" x14ac:dyDescent="0.3">
      <c r="C831" s="1"/>
      <c r="G831" s="3"/>
      <c r="H831" s="1"/>
    </row>
    <row r="832" spans="3:8" ht="15.75" customHeight="1" x14ac:dyDescent="0.3">
      <c r="C832" s="1"/>
      <c r="G832" s="3"/>
      <c r="H832" s="1"/>
    </row>
    <row r="833" spans="3:8" ht="15.75" customHeight="1" x14ac:dyDescent="0.3">
      <c r="C833" s="1"/>
      <c r="G833" s="3"/>
      <c r="H833" s="1"/>
    </row>
    <row r="834" spans="3:8" ht="15.75" customHeight="1" x14ac:dyDescent="0.3">
      <c r="C834" s="1"/>
      <c r="G834" s="3"/>
      <c r="H834" s="1"/>
    </row>
    <row r="835" spans="3:8" ht="15.75" customHeight="1" x14ac:dyDescent="0.3">
      <c r="C835" s="1"/>
      <c r="G835" s="3"/>
      <c r="H835" s="1"/>
    </row>
    <row r="836" spans="3:8" ht="15.75" customHeight="1" x14ac:dyDescent="0.3">
      <c r="C836" s="1"/>
      <c r="G836" s="3"/>
      <c r="H836" s="1"/>
    </row>
    <row r="837" spans="3:8" ht="15.75" customHeight="1" x14ac:dyDescent="0.3">
      <c r="C837" s="1"/>
      <c r="G837" s="3"/>
      <c r="H837" s="1"/>
    </row>
    <row r="838" spans="3:8" ht="15.75" customHeight="1" x14ac:dyDescent="0.3">
      <c r="C838" s="1"/>
      <c r="G838" s="3"/>
      <c r="H838" s="1"/>
    </row>
    <row r="839" spans="3:8" ht="15.75" customHeight="1" x14ac:dyDescent="0.3">
      <c r="C839" s="1"/>
      <c r="G839" s="3"/>
      <c r="H839" s="1"/>
    </row>
    <row r="840" spans="3:8" ht="15.75" customHeight="1" x14ac:dyDescent="0.3">
      <c r="C840" s="1"/>
      <c r="G840" s="3"/>
      <c r="H840" s="1"/>
    </row>
    <row r="841" spans="3:8" ht="15.75" customHeight="1" x14ac:dyDescent="0.3">
      <c r="C841" s="1"/>
      <c r="G841" s="3"/>
      <c r="H841" s="1"/>
    </row>
    <row r="842" spans="3:8" ht="15.75" customHeight="1" x14ac:dyDescent="0.3">
      <c r="C842" s="1"/>
      <c r="G842" s="3"/>
      <c r="H842" s="1"/>
    </row>
    <row r="843" spans="3:8" ht="15.75" customHeight="1" x14ac:dyDescent="0.3">
      <c r="C843" s="1"/>
      <c r="G843" s="3"/>
      <c r="H843" s="1"/>
    </row>
    <row r="844" spans="3:8" ht="15.75" customHeight="1" x14ac:dyDescent="0.3">
      <c r="C844" s="1"/>
      <c r="G844" s="3"/>
      <c r="H844" s="1"/>
    </row>
    <row r="845" spans="3:8" ht="15.75" customHeight="1" x14ac:dyDescent="0.3">
      <c r="C845" s="1"/>
      <c r="G845" s="3"/>
      <c r="H845" s="1"/>
    </row>
    <row r="846" spans="3:8" ht="15.75" customHeight="1" x14ac:dyDescent="0.3">
      <c r="C846" s="1"/>
      <c r="G846" s="3"/>
      <c r="H846" s="1"/>
    </row>
    <row r="847" spans="3:8" ht="15.75" customHeight="1" x14ac:dyDescent="0.3">
      <c r="C847" s="1"/>
      <c r="G847" s="3"/>
      <c r="H847" s="1"/>
    </row>
    <row r="848" spans="3:8" ht="15.75" customHeight="1" x14ac:dyDescent="0.3">
      <c r="C848" s="1"/>
      <c r="G848" s="3"/>
      <c r="H848" s="1"/>
    </row>
    <row r="849" spans="3:8" ht="15.75" customHeight="1" x14ac:dyDescent="0.3">
      <c r="C849" s="1"/>
      <c r="G849" s="3"/>
      <c r="H849" s="1"/>
    </row>
    <row r="850" spans="3:8" ht="15.75" customHeight="1" x14ac:dyDescent="0.3">
      <c r="C850" s="1"/>
      <c r="G850" s="3"/>
      <c r="H850" s="1"/>
    </row>
    <row r="851" spans="3:8" ht="15.75" customHeight="1" x14ac:dyDescent="0.3">
      <c r="C851" s="1"/>
      <c r="G851" s="3"/>
      <c r="H851" s="1"/>
    </row>
    <row r="852" spans="3:8" ht="15.75" customHeight="1" x14ac:dyDescent="0.3">
      <c r="C852" s="1"/>
      <c r="G852" s="3"/>
      <c r="H852" s="1"/>
    </row>
    <row r="853" spans="3:8" ht="15.75" customHeight="1" x14ac:dyDescent="0.3">
      <c r="C853" s="1"/>
      <c r="G853" s="3"/>
      <c r="H853" s="1"/>
    </row>
    <row r="854" spans="3:8" ht="15.75" customHeight="1" x14ac:dyDescent="0.3">
      <c r="C854" s="1"/>
      <c r="G854" s="3"/>
      <c r="H854" s="1"/>
    </row>
    <row r="855" spans="3:8" ht="15.75" customHeight="1" x14ac:dyDescent="0.3">
      <c r="C855" s="1"/>
      <c r="G855" s="3"/>
      <c r="H855" s="1"/>
    </row>
    <row r="856" spans="3:8" ht="15.75" customHeight="1" x14ac:dyDescent="0.3">
      <c r="C856" s="1"/>
      <c r="G856" s="3"/>
      <c r="H856" s="1"/>
    </row>
    <row r="857" spans="3:8" ht="15.75" customHeight="1" x14ac:dyDescent="0.3">
      <c r="C857" s="1"/>
      <c r="G857" s="3"/>
      <c r="H857" s="1"/>
    </row>
    <row r="858" spans="3:8" ht="15.75" customHeight="1" x14ac:dyDescent="0.3">
      <c r="C858" s="1"/>
      <c r="G858" s="3"/>
      <c r="H858" s="1"/>
    </row>
    <row r="859" spans="3:8" ht="15.75" customHeight="1" x14ac:dyDescent="0.3">
      <c r="C859" s="1"/>
      <c r="G859" s="3"/>
      <c r="H859" s="1"/>
    </row>
    <row r="860" spans="3:8" ht="15.75" customHeight="1" x14ac:dyDescent="0.3">
      <c r="C860" s="1"/>
      <c r="G860" s="3"/>
      <c r="H860" s="1"/>
    </row>
    <row r="861" spans="3:8" ht="15.75" customHeight="1" x14ac:dyDescent="0.3">
      <c r="C861" s="1"/>
      <c r="G861" s="3"/>
      <c r="H861" s="1"/>
    </row>
    <row r="862" spans="3:8" ht="15.75" customHeight="1" x14ac:dyDescent="0.3">
      <c r="C862" s="1"/>
      <c r="G862" s="3"/>
      <c r="H862" s="1"/>
    </row>
    <row r="863" spans="3:8" ht="15.75" customHeight="1" x14ac:dyDescent="0.3">
      <c r="C863" s="1"/>
      <c r="G863" s="3"/>
      <c r="H863" s="1"/>
    </row>
    <row r="864" spans="3:8" ht="15.75" customHeight="1" x14ac:dyDescent="0.3">
      <c r="C864" s="1"/>
      <c r="G864" s="3"/>
      <c r="H864" s="1"/>
    </row>
    <row r="865" spans="3:8" ht="15.75" customHeight="1" x14ac:dyDescent="0.3">
      <c r="C865" s="1"/>
      <c r="G865" s="3"/>
      <c r="H865" s="1"/>
    </row>
    <row r="866" spans="3:8" ht="15.75" customHeight="1" x14ac:dyDescent="0.3">
      <c r="C866" s="1"/>
      <c r="G866" s="3"/>
      <c r="H866" s="1"/>
    </row>
    <row r="867" spans="3:8" ht="15.75" customHeight="1" x14ac:dyDescent="0.3">
      <c r="C867" s="1"/>
      <c r="G867" s="3"/>
      <c r="H867" s="1"/>
    </row>
    <row r="868" spans="3:8" ht="15.75" customHeight="1" x14ac:dyDescent="0.3">
      <c r="C868" s="1"/>
      <c r="G868" s="3"/>
      <c r="H868" s="1"/>
    </row>
    <row r="869" spans="3:8" ht="15.75" customHeight="1" x14ac:dyDescent="0.3">
      <c r="C869" s="1"/>
      <c r="G869" s="3"/>
      <c r="H869" s="1"/>
    </row>
    <row r="870" spans="3:8" ht="15.75" customHeight="1" x14ac:dyDescent="0.3">
      <c r="C870" s="1"/>
      <c r="G870" s="3"/>
      <c r="H870" s="1"/>
    </row>
    <row r="871" spans="3:8" ht="15.75" customHeight="1" x14ac:dyDescent="0.3">
      <c r="C871" s="1"/>
      <c r="G871" s="3"/>
      <c r="H871" s="1"/>
    </row>
    <row r="872" spans="3:8" ht="15.75" customHeight="1" x14ac:dyDescent="0.3">
      <c r="C872" s="1"/>
      <c r="G872" s="3"/>
      <c r="H872" s="1"/>
    </row>
    <row r="873" spans="3:8" ht="15.75" customHeight="1" x14ac:dyDescent="0.3">
      <c r="C873" s="1"/>
      <c r="G873" s="3"/>
      <c r="H873" s="1"/>
    </row>
    <row r="874" spans="3:8" ht="15.75" customHeight="1" x14ac:dyDescent="0.3">
      <c r="C874" s="1"/>
      <c r="G874" s="3"/>
      <c r="H874" s="1"/>
    </row>
    <row r="875" spans="3:8" ht="15.75" customHeight="1" x14ac:dyDescent="0.3">
      <c r="C875" s="1"/>
      <c r="G875" s="3"/>
      <c r="H875" s="1"/>
    </row>
    <row r="876" spans="3:8" ht="15.75" customHeight="1" x14ac:dyDescent="0.3">
      <c r="C876" s="1"/>
      <c r="G876" s="3"/>
      <c r="H876" s="1"/>
    </row>
    <row r="877" spans="3:8" ht="15.75" customHeight="1" x14ac:dyDescent="0.3">
      <c r="C877" s="1"/>
      <c r="G877" s="3"/>
      <c r="H877" s="1"/>
    </row>
    <row r="878" spans="3:8" ht="15.75" customHeight="1" x14ac:dyDescent="0.3">
      <c r="C878" s="1"/>
      <c r="G878" s="3"/>
      <c r="H878" s="1"/>
    </row>
    <row r="879" spans="3:8" ht="15.75" customHeight="1" x14ac:dyDescent="0.3">
      <c r="C879" s="1"/>
      <c r="G879" s="3"/>
      <c r="H879" s="1"/>
    </row>
    <row r="880" spans="3:8" ht="15.75" customHeight="1" x14ac:dyDescent="0.3">
      <c r="C880" s="1"/>
      <c r="G880" s="3"/>
      <c r="H880" s="1"/>
    </row>
    <row r="881" spans="3:8" ht="15.75" customHeight="1" x14ac:dyDescent="0.3">
      <c r="C881" s="1"/>
      <c r="G881" s="3"/>
      <c r="H881" s="1"/>
    </row>
    <row r="882" spans="3:8" ht="15.75" customHeight="1" x14ac:dyDescent="0.3">
      <c r="C882" s="1"/>
      <c r="G882" s="3"/>
      <c r="H882" s="1"/>
    </row>
    <row r="883" spans="3:8" ht="15.75" customHeight="1" x14ac:dyDescent="0.3">
      <c r="C883" s="1"/>
      <c r="G883" s="3"/>
      <c r="H883" s="1"/>
    </row>
    <row r="884" spans="3:8" ht="15.75" customHeight="1" x14ac:dyDescent="0.3">
      <c r="C884" s="1"/>
      <c r="G884" s="3"/>
      <c r="H884" s="1"/>
    </row>
    <row r="885" spans="3:8" ht="15.75" customHeight="1" x14ac:dyDescent="0.3">
      <c r="C885" s="1"/>
      <c r="G885" s="3"/>
      <c r="H885" s="1"/>
    </row>
    <row r="886" spans="3:8" ht="15.75" customHeight="1" x14ac:dyDescent="0.3">
      <c r="C886" s="1"/>
      <c r="G886" s="3"/>
      <c r="H886" s="1"/>
    </row>
    <row r="887" spans="3:8" ht="15.75" customHeight="1" x14ac:dyDescent="0.3">
      <c r="C887" s="1"/>
      <c r="G887" s="3"/>
      <c r="H887" s="1"/>
    </row>
    <row r="888" spans="3:8" ht="15.75" customHeight="1" x14ac:dyDescent="0.3">
      <c r="C888" s="1"/>
      <c r="G888" s="3"/>
      <c r="H888" s="1"/>
    </row>
    <row r="889" spans="3:8" ht="15.75" customHeight="1" x14ac:dyDescent="0.3">
      <c r="C889" s="1"/>
      <c r="G889" s="3"/>
      <c r="H889" s="1"/>
    </row>
    <row r="890" spans="3:8" ht="15.75" customHeight="1" x14ac:dyDescent="0.3">
      <c r="C890" s="1"/>
      <c r="G890" s="3"/>
      <c r="H890" s="1"/>
    </row>
    <row r="891" spans="3:8" ht="15.75" customHeight="1" x14ac:dyDescent="0.3">
      <c r="C891" s="1"/>
      <c r="G891" s="3"/>
      <c r="H891" s="1"/>
    </row>
    <row r="892" spans="3:8" ht="15.75" customHeight="1" x14ac:dyDescent="0.3">
      <c r="C892" s="1"/>
      <c r="G892" s="3"/>
      <c r="H892" s="1"/>
    </row>
    <row r="893" spans="3:8" ht="15.75" customHeight="1" x14ac:dyDescent="0.3">
      <c r="C893" s="1"/>
      <c r="G893" s="3"/>
      <c r="H893" s="1"/>
    </row>
    <row r="894" spans="3:8" ht="15.75" customHeight="1" x14ac:dyDescent="0.3">
      <c r="C894" s="1"/>
      <c r="G894" s="3"/>
      <c r="H894" s="1"/>
    </row>
    <row r="895" spans="3:8" ht="15.75" customHeight="1" x14ac:dyDescent="0.3">
      <c r="C895" s="1"/>
      <c r="G895" s="3"/>
      <c r="H895" s="1"/>
    </row>
    <row r="896" spans="3:8" ht="15.75" customHeight="1" x14ac:dyDescent="0.3">
      <c r="C896" s="1"/>
      <c r="G896" s="3"/>
      <c r="H896" s="1"/>
    </row>
    <row r="897" spans="3:8" ht="15.75" customHeight="1" x14ac:dyDescent="0.3">
      <c r="C897" s="1"/>
      <c r="G897" s="3"/>
      <c r="H897" s="1"/>
    </row>
    <row r="898" spans="3:8" ht="15.75" customHeight="1" x14ac:dyDescent="0.3">
      <c r="C898" s="1"/>
      <c r="G898" s="3"/>
      <c r="H898" s="1"/>
    </row>
    <row r="899" spans="3:8" ht="15.75" customHeight="1" x14ac:dyDescent="0.3">
      <c r="C899" s="1"/>
      <c r="G899" s="3"/>
      <c r="H899" s="1"/>
    </row>
    <row r="900" spans="3:8" ht="15.75" customHeight="1" x14ac:dyDescent="0.3">
      <c r="C900" s="1"/>
      <c r="G900" s="3"/>
      <c r="H900" s="1"/>
    </row>
    <row r="901" spans="3:8" ht="15.75" customHeight="1" x14ac:dyDescent="0.3">
      <c r="C901" s="1"/>
      <c r="G901" s="3"/>
      <c r="H901" s="1"/>
    </row>
    <row r="902" spans="3:8" ht="15.75" customHeight="1" x14ac:dyDescent="0.3">
      <c r="C902" s="1"/>
      <c r="G902" s="3"/>
      <c r="H902" s="1"/>
    </row>
    <row r="903" spans="3:8" ht="15.75" customHeight="1" x14ac:dyDescent="0.3">
      <c r="C903" s="1"/>
      <c r="G903" s="3"/>
      <c r="H903" s="1"/>
    </row>
    <row r="904" spans="3:8" ht="15.75" customHeight="1" x14ac:dyDescent="0.3">
      <c r="C904" s="1"/>
      <c r="G904" s="3"/>
      <c r="H904" s="1"/>
    </row>
    <row r="905" spans="3:8" ht="15.75" customHeight="1" x14ac:dyDescent="0.3">
      <c r="C905" s="1"/>
      <c r="G905" s="3"/>
      <c r="H905" s="1"/>
    </row>
    <row r="906" spans="3:8" ht="15.75" customHeight="1" x14ac:dyDescent="0.3">
      <c r="C906" s="1"/>
      <c r="G906" s="3"/>
      <c r="H906" s="1"/>
    </row>
    <row r="907" spans="3:8" ht="15.75" customHeight="1" x14ac:dyDescent="0.3">
      <c r="C907" s="1"/>
      <c r="G907" s="3"/>
      <c r="H907" s="1"/>
    </row>
    <row r="908" spans="3:8" ht="15.75" customHeight="1" x14ac:dyDescent="0.3">
      <c r="C908" s="1"/>
      <c r="G908" s="3"/>
      <c r="H908" s="1"/>
    </row>
    <row r="909" spans="3:8" ht="15.75" customHeight="1" x14ac:dyDescent="0.3">
      <c r="C909" s="1"/>
      <c r="G909" s="3"/>
      <c r="H909" s="1"/>
    </row>
    <row r="910" spans="3:8" ht="15.75" customHeight="1" x14ac:dyDescent="0.3">
      <c r="C910" s="1"/>
      <c r="G910" s="3"/>
      <c r="H910" s="1"/>
    </row>
    <row r="911" spans="3:8" ht="15.75" customHeight="1" x14ac:dyDescent="0.3">
      <c r="C911" s="1"/>
      <c r="G911" s="3"/>
      <c r="H911" s="1"/>
    </row>
    <row r="912" spans="3:8" ht="15.75" customHeight="1" x14ac:dyDescent="0.3">
      <c r="C912" s="1"/>
      <c r="G912" s="3"/>
      <c r="H912" s="1"/>
    </row>
    <row r="913" spans="3:8" ht="15.75" customHeight="1" x14ac:dyDescent="0.3">
      <c r="C913" s="1"/>
      <c r="G913" s="3"/>
      <c r="H913" s="1"/>
    </row>
    <row r="914" spans="3:8" ht="15.75" customHeight="1" x14ac:dyDescent="0.3">
      <c r="C914" s="1"/>
      <c r="G914" s="3"/>
      <c r="H914" s="1"/>
    </row>
    <row r="915" spans="3:8" ht="15.75" customHeight="1" x14ac:dyDescent="0.3">
      <c r="C915" s="1"/>
      <c r="G915" s="3"/>
      <c r="H915" s="1"/>
    </row>
    <row r="916" spans="3:8" ht="15.75" customHeight="1" x14ac:dyDescent="0.3">
      <c r="C916" s="1"/>
      <c r="G916" s="3"/>
      <c r="H916" s="1"/>
    </row>
    <row r="917" spans="3:8" ht="15.75" customHeight="1" x14ac:dyDescent="0.3">
      <c r="C917" s="1"/>
      <c r="G917" s="3"/>
      <c r="H917" s="1"/>
    </row>
    <row r="918" spans="3:8" ht="15.75" customHeight="1" x14ac:dyDescent="0.3">
      <c r="C918" s="1"/>
      <c r="G918" s="3"/>
      <c r="H918" s="1"/>
    </row>
    <row r="919" spans="3:8" ht="15.75" customHeight="1" x14ac:dyDescent="0.3">
      <c r="C919" s="1"/>
      <c r="G919" s="3"/>
      <c r="H919" s="1"/>
    </row>
    <row r="920" spans="3:8" ht="15.75" customHeight="1" x14ac:dyDescent="0.3">
      <c r="C920" s="1"/>
      <c r="G920" s="3"/>
      <c r="H920" s="1"/>
    </row>
    <row r="921" spans="3:8" ht="15.75" customHeight="1" x14ac:dyDescent="0.3">
      <c r="C921" s="1"/>
      <c r="G921" s="3"/>
      <c r="H921" s="1"/>
    </row>
    <row r="922" spans="3:8" ht="15.75" customHeight="1" x14ac:dyDescent="0.3">
      <c r="C922" s="1"/>
      <c r="G922" s="3"/>
      <c r="H922" s="1"/>
    </row>
    <row r="923" spans="3:8" ht="15.75" customHeight="1" x14ac:dyDescent="0.3">
      <c r="C923" s="1"/>
      <c r="G923" s="3"/>
      <c r="H923" s="1"/>
    </row>
    <row r="924" spans="3:8" ht="15.75" customHeight="1" x14ac:dyDescent="0.3">
      <c r="C924" s="1"/>
      <c r="G924" s="3"/>
      <c r="H924" s="1"/>
    </row>
    <row r="925" spans="3:8" ht="15.75" customHeight="1" x14ac:dyDescent="0.3">
      <c r="C925" s="1"/>
      <c r="G925" s="3"/>
      <c r="H925" s="1"/>
    </row>
    <row r="926" spans="3:8" ht="15.75" customHeight="1" x14ac:dyDescent="0.3">
      <c r="C926" s="1"/>
      <c r="G926" s="3"/>
      <c r="H926" s="1"/>
    </row>
    <row r="927" spans="3:8" ht="15.75" customHeight="1" x14ac:dyDescent="0.3">
      <c r="C927" s="1"/>
      <c r="G927" s="3"/>
      <c r="H927" s="1"/>
    </row>
    <row r="928" spans="3:8" ht="15.75" customHeight="1" x14ac:dyDescent="0.3">
      <c r="C928" s="1"/>
      <c r="G928" s="3"/>
      <c r="H928" s="1"/>
    </row>
    <row r="929" spans="3:8" ht="15.75" customHeight="1" x14ac:dyDescent="0.3">
      <c r="C929" s="1"/>
      <c r="G929" s="3"/>
      <c r="H929" s="1"/>
    </row>
    <row r="930" spans="3:8" ht="15.75" customHeight="1" x14ac:dyDescent="0.3">
      <c r="C930" s="1"/>
      <c r="G930" s="3"/>
      <c r="H930" s="1"/>
    </row>
    <row r="931" spans="3:8" ht="15.75" customHeight="1" x14ac:dyDescent="0.3">
      <c r="C931" s="1"/>
      <c r="G931" s="3"/>
      <c r="H931" s="1"/>
    </row>
    <row r="932" spans="3:8" ht="15.75" customHeight="1" x14ac:dyDescent="0.3">
      <c r="C932" s="1"/>
      <c r="G932" s="3"/>
      <c r="H932" s="1"/>
    </row>
    <row r="933" spans="3:8" ht="15.75" customHeight="1" x14ac:dyDescent="0.3">
      <c r="C933" s="1"/>
      <c r="G933" s="3"/>
      <c r="H933" s="1"/>
    </row>
    <row r="934" spans="3:8" ht="15.75" customHeight="1" x14ac:dyDescent="0.3">
      <c r="C934" s="1"/>
      <c r="G934" s="3"/>
      <c r="H934" s="1"/>
    </row>
    <row r="935" spans="3:8" ht="15.75" customHeight="1" x14ac:dyDescent="0.3">
      <c r="C935" s="1"/>
      <c r="G935" s="3"/>
      <c r="H935" s="1"/>
    </row>
    <row r="936" spans="3:8" ht="15.75" customHeight="1" x14ac:dyDescent="0.3">
      <c r="C936" s="1"/>
      <c r="G936" s="3"/>
      <c r="H936" s="1"/>
    </row>
    <row r="937" spans="3:8" ht="15.75" customHeight="1" x14ac:dyDescent="0.3">
      <c r="C937" s="1"/>
      <c r="G937" s="3"/>
      <c r="H937" s="1"/>
    </row>
    <row r="938" spans="3:8" ht="15.75" customHeight="1" x14ac:dyDescent="0.3">
      <c r="C938" s="1"/>
      <c r="G938" s="3"/>
      <c r="H938" s="1"/>
    </row>
    <row r="939" spans="3:8" ht="15.75" customHeight="1" x14ac:dyDescent="0.3">
      <c r="C939" s="1"/>
      <c r="G939" s="3"/>
      <c r="H939" s="1"/>
    </row>
    <row r="940" spans="3:8" ht="15.75" customHeight="1" x14ac:dyDescent="0.3">
      <c r="C940" s="1"/>
      <c r="G940" s="3"/>
      <c r="H940" s="1"/>
    </row>
    <row r="941" spans="3:8" ht="15.75" customHeight="1" x14ac:dyDescent="0.3">
      <c r="C941" s="1"/>
      <c r="G941" s="3"/>
      <c r="H941" s="1"/>
    </row>
    <row r="942" spans="3:8" ht="15.75" customHeight="1" x14ac:dyDescent="0.3">
      <c r="C942" s="1"/>
      <c r="G942" s="3"/>
      <c r="H942" s="1"/>
    </row>
    <row r="943" spans="3:8" ht="15.75" customHeight="1" x14ac:dyDescent="0.3">
      <c r="C943" s="1"/>
      <c r="G943" s="3"/>
      <c r="H943" s="1"/>
    </row>
    <row r="944" spans="3:8" ht="15.75" customHeight="1" x14ac:dyDescent="0.3">
      <c r="C944" s="1"/>
      <c r="G944" s="3"/>
      <c r="H944" s="1"/>
    </row>
    <row r="945" spans="3:8" ht="15.75" customHeight="1" x14ac:dyDescent="0.3">
      <c r="C945" s="1"/>
      <c r="G945" s="3"/>
      <c r="H945" s="1"/>
    </row>
    <row r="946" spans="3:8" ht="15.75" customHeight="1" x14ac:dyDescent="0.3">
      <c r="C946" s="1"/>
      <c r="G946" s="3"/>
      <c r="H946" s="1"/>
    </row>
    <row r="947" spans="3:8" ht="15.75" customHeight="1" x14ac:dyDescent="0.3">
      <c r="C947" s="1"/>
      <c r="G947" s="3"/>
      <c r="H947" s="1"/>
    </row>
    <row r="948" spans="3:8" ht="15.75" customHeight="1" x14ac:dyDescent="0.3">
      <c r="C948" s="1"/>
      <c r="G948" s="3"/>
      <c r="H948" s="1"/>
    </row>
    <row r="949" spans="3:8" ht="15.75" customHeight="1" x14ac:dyDescent="0.3">
      <c r="C949" s="1"/>
      <c r="G949" s="3"/>
      <c r="H949" s="1"/>
    </row>
    <row r="950" spans="3:8" ht="15.75" customHeight="1" x14ac:dyDescent="0.3">
      <c r="C950" s="1"/>
      <c r="G950" s="3"/>
      <c r="H950" s="1"/>
    </row>
    <row r="951" spans="3:8" ht="15.75" customHeight="1" x14ac:dyDescent="0.3">
      <c r="C951" s="1"/>
      <c r="G951" s="3"/>
      <c r="H951" s="1"/>
    </row>
    <row r="952" spans="3:8" ht="15.75" customHeight="1" x14ac:dyDescent="0.3">
      <c r="C952" s="1"/>
      <c r="G952" s="3"/>
      <c r="H952" s="1"/>
    </row>
    <row r="953" spans="3:8" ht="15.75" customHeight="1" x14ac:dyDescent="0.3">
      <c r="C953" s="1"/>
      <c r="G953" s="3"/>
      <c r="H953" s="1"/>
    </row>
    <row r="954" spans="3:8" ht="15.75" customHeight="1" x14ac:dyDescent="0.3">
      <c r="C954" s="1"/>
      <c r="G954" s="3"/>
      <c r="H954" s="1"/>
    </row>
    <row r="955" spans="3:8" ht="15.75" customHeight="1" x14ac:dyDescent="0.3">
      <c r="C955" s="1"/>
      <c r="G955" s="3"/>
      <c r="H955" s="1"/>
    </row>
    <row r="956" spans="3:8" ht="15.75" customHeight="1" x14ac:dyDescent="0.3">
      <c r="C956" s="1"/>
      <c r="G956" s="3"/>
      <c r="H956" s="1"/>
    </row>
    <row r="957" spans="3:8" ht="15.75" customHeight="1" x14ac:dyDescent="0.3">
      <c r="C957" s="1"/>
      <c r="G957" s="3"/>
      <c r="H957" s="1"/>
    </row>
    <row r="958" spans="3:8" ht="15.75" customHeight="1" x14ac:dyDescent="0.3">
      <c r="C958" s="1"/>
      <c r="G958" s="3"/>
      <c r="H958" s="1"/>
    </row>
    <row r="959" spans="3:8" ht="15.75" customHeight="1" x14ac:dyDescent="0.3">
      <c r="C959" s="1"/>
      <c r="G959" s="3"/>
      <c r="H959" s="1"/>
    </row>
    <row r="960" spans="3:8" ht="15.75" customHeight="1" x14ac:dyDescent="0.3">
      <c r="C960" s="1"/>
      <c r="G960" s="3"/>
      <c r="H960" s="1"/>
    </row>
    <row r="961" spans="3:8" ht="15.75" customHeight="1" x14ac:dyDescent="0.3">
      <c r="C961" s="1"/>
      <c r="G961" s="3"/>
      <c r="H961" s="1"/>
    </row>
    <row r="962" spans="3:8" ht="15.75" customHeight="1" x14ac:dyDescent="0.3">
      <c r="C962" s="1"/>
      <c r="G962" s="3"/>
      <c r="H962" s="1"/>
    </row>
    <row r="963" spans="3:8" ht="15.75" customHeight="1" x14ac:dyDescent="0.3">
      <c r="C963" s="1"/>
      <c r="G963" s="3"/>
      <c r="H963" s="1"/>
    </row>
    <row r="964" spans="3:8" ht="15.75" customHeight="1" x14ac:dyDescent="0.3">
      <c r="C964" s="1"/>
      <c r="G964" s="3"/>
      <c r="H964" s="1"/>
    </row>
    <row r="965" spans="3:8" ht="15.75" customHeight="1" x14ac:dyDescent="0.3">
      <c r="C965" s="1"/>
      <c r="G965" s="3"/>
      <c r="H965" s="1"/>
    </row>
    <row r="966" spans="3:8" ht="15.75" customHeight="1" x14ac:dyDescent="0.3">
      <c r="C966" s="1"/>
      <c r="G966" s="3"/>
      <c r="H966" s="1"/>
    </row>
    <row r="967" spans="3:8" ht="15.75" customHeight="1" x14ac:dyDescent="0.3">
      <c r="C967" s="1"/>
      <c r="G967" s="3"/>
      <c r="H967" s="1"/>
    </row>
    <row r="968" spans="3:8" ht="15.75" customHeight="1" x14ac:dyDescent="0.3">
      <c r="C968" s="1"/>
      <c r="G968" s="3"/>
      <c r="H968" s="1"/>
    </row>
    <row r="969" spans="3:8" ht="15.75" customHeight="1" x14ac:dyDescent="0.3">
      <c r="C969" s="1"/>
      <c r="G969" s="3"/>
      <c r="H969" s="1"/>
    </row>
    <row r="970" spans="3:8" ht="15.75" customHeight="1" x14ac:dyDescent="0.3">
      <c r="C970" s="1"/>
      <c r="G970" s="3"/>
      <c r="H970" s="1"/>
    </row>
    <row r="971" spans="3:8" ht="15.75" customHeight="1" x14ac:dyDescent="0.3">
      <c r="C971" s="1"/>
      <c r="G971" s="3"/>
      <c r="H971" s="1"/>
    </row>
    <row r="972" spans="3:8" ht="15.75" customHeight="1" x14ac:dyDescent="0.3">
      <c r="C972" s="1"/>
      <c r="G972" s="3"/>
      <c r="H972" s="1"/>
    </row>
    <row r="973" spans="3:8" ht="15.75" customHeight="1" x14ac:dyDescent="0.3">
      <c r="C973" s="1"/>
      <c r="G973" s="3"/>
      <c r="H973" s="1"/>
    </row>
    <row r="974" spans="3:8" ht="15.75" customHeight="1" x14ac:dyDescent="0.3">
      <c r="C974" s="1"/>
      <c r="G974" s="3"/>
      <c r="H974" s="1"/>
    </row>
    <row r="975" spans="3:8" ht="15.75" customHeight="1" x14ac:dyDescent="0.3">
      <c r="C975" s="1"/>
      <c r="G975" s="3"/>
      <c r="H975" s="1"/>
    </row>
    <row r="976" spans="3:8" ht="15.75" customHeight="1" x14ac:dyDescent="0.3">
      <c r="C976" s="1"/>
      <c r="G976" s="3"/>
      <c r="H976" s="1"/>
    </row>
    <row r="977" spans="3:8" ht="15.75" customHeight="1" x14ac:dyDescent="0.3">
      <c r="C977" s="1"/>
      <c r="G977" s="3"/>
      <c r="H977" s="1"/>
    </row>
    <row r="978" spans="3:8" ht="15.75" customHeight="1" x14ac:dyDescent="0.3">
      <c r="C978" s="1"/>
      <c r="G978" s="3"/>
      <c r="H978" s="1"/>
    </row>
    <row r="979" spans="3:8" ht="15.75" customHeight="1" x14ac:dyDescent="0.3">
      <c r="C979" s="1"/>
      <c r="G979" s="3"/>
      <c r="H979" s="1"/>
    </row>
    <row r="980" spans="3:8" ht="15.75" customHeight="1" x14ac:dyDescent="0.3">
      <c r="C980" s="1"/>
      <c r="G980" s="3"/>
      <c r="H980" s="1"/>
    </row>
    <row r="981" spans="3:8" ht="15.75" customHeight="1" x14ac:dyDescent="0.3">
      <c r="C981" s="1"/>
      <c r="G981" s="3"/>
      <c r="H981" s="1"/>
    </row>
    <row r="982" spans="3:8" ht="15.75" customHeight="1" x14ac:dyDescent="0.3">
      <c r="C982" s="1"/>
      <c r="G982" s="3"/>
      <c r="H982" s="1"/>
    </row>
    <row r="983" spans="3:8" ht="15.75" customHeight="1" x14ac:dyDescent="0.3">
      <c r="C983" s="1"/>
      <c r="G983" s="3"/>
      <c r="H983" s="1"/>
    </row>
    <row r="984" spans="3:8" ht="15.75" customHeight="1" x14ac:dyDescent="0.3">
      <c r="C984" s="1"/>
      <c r="G984" s="3"/>
      <c r="H984" s="1"/>
    </row>
    <row r="985" spans="3:8" ht="15.75" customHeight="1" x14ac:dyDescent="0.3">
      <c r="C985" s="1"/>
      <c r="G985" s="3"/>
      <c r="H985" s="1"/>
    </row>
    <row r="986" spans="3:8" ht="15.75" customHeight="1" x14ac:dyDescent="0.3">
      <c r="C986" s="1"/>
      <c r="G986" s="3"/>
      <c r="H986" s="1"/>
    </row>
    <row r="987" spans="3:8" ht="15.75" customHeight="1" x14ac:dyDescent="0.3">
      <c r="C987" s="1"/>
      <c r="G987" s="3"/>
      <c r="H987" s="1"/>
    </row>
    <row r="988" spans="3:8" ht="15.75" customHeight="1" x14ac:dyDescent="0.3">
      <c r="C988" s="1"/>
      <c r="G988" s="3"/>
      <c r="H988" s="1"/>
    </row>
    <row r="989" spans="3:8" ht="15.75" customHeight="1" x14ac:dyDescent="0.3">
      <c r="C989" s="1"/>
      <c r="G989" s="3"/>
      <c r="H989" s="1"/>
    </row>
    <row r="990" spans="3:8" ht="15.75" customHeight="1" x14ac:dyDescent="0.3">
      <c r="C990" s="1"/>
      <c r="G990" s="3"/>
      <c r="H990" s="1"/>
    </row>
    <row r="991" spans="3:8" ht="15.75" customHeight="1" x14ac:dyDescent="0.3">
      <c r="C991" s="1"/>
      <c r="G991" s="3"/>
      <c r="H991" s="1"/>
    </row>
    <row r="992" spans="3:8" ht="15.75" customHeight="1" x14ac:dyDescent="0.3">
      <c r="C992" s="1"/>
      <c r="G992" s="3"/>
      <c r="H992" s="1"/>
    </row>
    <row r="993" spans="3:8" ht="15.75" customHeight="1" x14ac:dyDescent="0.3">
      <c r="C993" s="1"/>
      <c r="G993" s="3"/>
      <c r="H993" s="1"/>
    </row>
    <row r="994" spans="3:8" ht="15.75" customHeight="1" x14ac:dyDescent="0.3">
      <c r="C994" s="1"/>
      <c r="G994" s="3"/>
      <c r="H994" s="1"/>
    </row>
    <row r="995" spans="3:8" ht="15.75" customHeight="1" x14ac:dyDescent="0.3">
      <c r="C995" s="1"/>
      <c r="G995" s="3"/>
      <c r="H995" s="1"/>
    </row>
    <row r="996" spans="3:8" ht="15.75" customHeight="1" x14ac:dyDescent="0.3">
      <c r="C996" s="1"/>
      <c r="G996" s="3"/>
      <c r="H996" s="1"/>
    </row>
    <row r="997" spans="3:8" ht="15.75" customHeight="1" x14ac:dyDescent="0.3">
      <c r="C997" s="1"/>
      <c r="G997" s="3"/>
      <c r="H997" s="1"/>
    </row>
    <row r="998" spans="3:8" ht="15.75" customHeight="1" x14ac:dyDescent="0.3">
      <c r="C998" s="1"/>
      <c r="G998" s="3"/>
      <c r="H998" s="1"/>
    </row>
    <row r="999" spans="3:8" ht="15.75" customHeight="1" x14ac:dyDescent="0.3">
      <c r="C999" s="1"/>
      <c r="G999" s="3"/>
      <c r="H999" s="1"/>
    </row>
    <row r="1000" spans="3:8" ht="15.75" customHeight="1" x14ac:dyDescent="0.3">
      <c r="C1000" s="1"/>
      <c r="G1000" s="3"/>
      <c r="H1000" s="1"/>
    </row>
    <row r="1001" spans="3:8" ht="15.75" customHeight="1" x14ac:dyDescent="0.3">
      <c r="C1001" s="1"/>
      <c r="G1001" s="3"/>
      <c r="H1001" s="1"/>
    </row>
    <row r="1002" spans="3:8" ht="15.75" customHeight="1" x14ac:dyDescent="0.3">
      <c r="C1002" s="1"/>
      <c r="G1002" s="3"/>
      <c r="H1002" s="1"/>
    </row>
    <row r="1003" spans="3:8" ht="15.75" customHeight="1" x14ac:dyDescent="0.3">
      <c r="C1003" s="1"/>
      <c r="G1003" s="3"/>
      <c r="H1003" s="1"/>
    </row>
    <row r="1004" spans="3:8" ht="15.75" customHeight="1" x14ac:dyDescent="0.3">
      <c r="C1004" s="1"/>
      <c r="G1004" s="3"/>
      <c r="H1004" s="1"/>
    </row>
    <row r="1005" spans="3:8" ht="15" customHeight="1" x14ac:dyDescent="0.3">
      <c r="C1005" s="1"/>
      <c r="G1005" s="3"/>
      <c r="H1005" s="1"/>
    </row>
    <row r="1006" spans="3:8" ht="15" customHeight="1" x14ac:dyDescent="0.3">
      <c r="C1006" s="1"/>
      <c r="G1006" s="3"/>
      <c r="H1006" s="1"/>
    </row>
    <row r="1007" spans="3:8" ht="15" customHeight="1" x14ac:dyDescent="0.3">
      <c r="C1007" s="1"/>
      <c r="G1007" s="3"/>
      <c r="H1007" s="1"/>
    </row>
    <row r="1008" spans="3:8" ht="15" customHeight="1" x14ac:dyDescent="0.3">
      <c r="C1008" s="1"/>
      <c r="G1008" s="3"/>
      <c r="H1008" s="1"/>
    </row>
    <row r="1009" spans="3:8" ht="15" customHeight="1" x14ac:dyDescent="0.3">
      <c r="C1009" s="1"/>
      <c r="G1009" s="3"/>
      <c r="H1009" s="1"/>
    </row>
  </sheetData>
  <mergeCells count="12">
    <mergeCell ref="J42:J43"/>
    <mergeCell ref="F38:I38"/>
    <mergeCell ref="F40:I40"/>
    <mergeCell ref="F42:I43"/>
    <mergeCell ref="N2:P2"/>
    <mergeCell ref="N29:P29"/>
    <mergeCell ref="F28:G28"/>
    <mergeCell ref="F2:J2"/>
    <mergeCell ref="F4:G4"/>
    <mergeCell ref="I4:J4"/>
    <mergeCell ref="F25:I25"/>
    <mergeCell ref="I28:J28"/>
  </mergeCells>
  <pageMargins left="0.7" right="0.7" top="0.75" bottom="0.75" header="0" footer="0"/>
  <pageSetup paperSize="9" scale="82" orientation="portrait"/>
  <headerFooter>
    <oddFooter>&amp;L_x000D_&amp;1#&amp;"Aptos"&amp;10&amp;K008000 Confidential -C2-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2:AD1000"/>
  <sheetViews>
    <sheetView showGridLines="0" workbookViewId="0"/>
  </sheetViews>
  <sheetFormatPr baseColWidth="10" defaultColWidth="14.44140625" defaultRowHeight="15" customHeight="1" x14ac:dyDescent="0.3"/>
  <cols>
    <col min="1" max="1" width="1.6640625" customWidth="1"/>
    <col min="2" max="2" width="7.6640625" customWidth="1"/>
    <col min="3" max="3" width="2.77734375" customWidth="1"/>
    <col min="4" max="4" width="24.77734375" customWidth="1"/>
    <col min="5" max="5" width="19.77734375" customWidth="1"/>
    <col min="6" max="6" width="2.77734375" customWidth="1"/>
    <col min="7" max="7" width="8.77734375" customWidth="1"/>
    <col min="8" max="8" width="2.77734375" customWidth="1"/>
    <col min="9" max="9" width="24.77734375" customWidth="1"/>
    <col min="10" max="10" width="19.77734375" customWidth="1"/>
    <col min="11" max="11" width="2.77734375" customWidth="1"/>
    <col min="12" max="12" width="8.77734375" customWidth="1"/>
    <col min="13" max="13" width="2.77734375" customWidth="1"/>
    <col min="14" max="14" width="24.77734375" customWidth="1"/>
    <col min="15" max="15" width="19.77734375" customWidth="1"/>
    <col min="16" max="16" width="2.77734375" customWidth="1"/>
    <col min="17" max="17" width="15.44140625" customWidth="1"/>
    <col min="18" max="18" width="18.21875" customWidth="1"/>
    <col min="19" max="21" width="15.44140625" customWidth="1"/>
    <col min="22" max="22" width="2.77734375" customWidth="1"/>
    <col min="23" max="23" width="18.44140625" customWidth="1"/>
    <col min="24" max="24" width="17.21875" customWidth="1"/>
    <col min="25" max="25" width="2.77734375" customWidth="1"/>
    <col min="26" max="26" width="5.77734375" customWidth="1"/>
    <col min="27" max="27" width="2.77734375" customWidth="1"/>
    <col min="28" max="28" width="18.44140625" customWidth="1"/>
    <col min="29" max="29" width="17.21875" customWidth="1"/>
    <col min="30" max="30" width="2.77734375" customWidth="1"/>
    <col min="31" max="32" width="10.6640625" customWidth="1"/>
  </cols>
  <sheetData>
    <row r="2" spans="3:30" ht="15.6" x14ac:dyDescent="0.3">
      <c r="C2" s="188" t="s">
        <v>74</v>
      </c>
      <c r="D2" s="189"/>
      <c r="E2" s="189"/>
      <c r="F2" s="190"/>
      <c r="H2" s="188" t="s">
        <v>75</v>
      </c>
      <c r="I2" s="189"/>
      <c r="J2" s="189"/>
      <c r="K2" s="190"/>
      <c r="M2" s="188" t="s">
        <v>76</v>
      </c>
      <c r="N2" s="189"/>
      <c r="O2" s="189"/>
      <c r="P2" s="190"/>
      <c r="V2" s="191" t="s">
        <v>77</v>
      </c>
      <c r="W2" s="189"/>
      <c r="X2" s="189"/>
      <c r="Y2" s="190"/>
      <c r="AA2" s="191" t="s">
        <v>78</v>
      </c>
      <c r="AB2" s="189"/>
      <c r="AC2" s="189"/>
      <c r="AD2" s="190"/>
    </row>
    <row r="3" spans="3:30" ht="14.4" x14ac:dyDescent="0.3">
      <c r="C3" s="7"/>
      <c r="D3" s="4"/>
      <c r="E3" s="4"/>
      <c r="F3" s="8"/>
      <c r="H3" s="7"/>
      <c r="I3" s="4"/>
      <c r="J3" s="4"/>
      <c r="K3" s="8"/>
      <c r="M3" s="7"/>
      <c r="N3" s="4"/>
      <c r="O3" s="4"/>
      <c r="P3" s="8"/>
      <c r="V3" s="9"/>
      <c r="W3" s="10"/>
      <c r="X3" s="10"/>
      <c r="Y3" s="11"/>
      <c r="AA3" s="9"/>
      <c r="AB3" s="10"/>
      <c r="AC3" s="10"/>
      <c r="AD3" s="11"/>
    </row>
    <row r="4" spans="3:30" ht="14.4" x14ac:dyDescent="0.3">
      <c r="C4" s="7"/>
      <c r="D4" s="182" t="s">
        <v>79</v>
      </c>
      <c r="E4" s="177"/>
      <c r="F4" s="8"/>
      <c r="H4" s="7"/>
      <c r="I4" s="182" t="s">
        <v>80</v>
      </c>
      <c r="J4" s="177"/>
      <c r="K4" s="8"/>
      <c r="M4" s="7"/>
      <c r="N4" s="182" t="s">
        <v>81</v>
      </c>
      <c r="O4" s="177"/>
      <c r="P4" s="8"/>
      <c r="V4" s="12"/>
      <c r="W4" s="181" t="s">
        <v>82</v>
      </c>
      <c r="X4" s="177"/>
      <c r="Y4" s="13"/>
      <c r="AA4" s="12"/>
      <c r="AB4" s="181" t="s">
        <v>79</v>
      </c>
      <c r="AC4" s="177"/>
      <c r="AD4" s="13"/>
    </row>
    <row r="5" spans="3:30" ht="14.4" x14ac:dyDescent="0.3">
      <c r="C5" s="7"/>
      <c r="D5" s="14" t="s">
        <v>83</v>
      </c>
      <c r="E5" s="15">
        <f>SUM('Plan de charge'!O5:O7)</f>
        <v>0</v>
      </c>
      <c r="F5" s="8"/>
      <c r="G5" s="16"/>
      <c r="H5" s="7"/>
      <c r="I5" s="17" t="s">
        <v>67</v>
      </c>
      <c r="J5" s="18">
        <f>'Plan de charge'!O32</f>
        <v>0</v>
      </c>
      <c r="K5" s="8"/>
      <c r="L5" s="16"/>
      <c r="M5" s="7"/>
      <c r="N5" s="17" t="s">
        <v>84</v>
      </c>
      <c r="O5" s="18">
        <f>'Plan de charge'!G5</f>
        <v>0</v>
      </c>
      <c r="P5" s="4"/>
      <c r="V5" s="12"/>
      <c r="W5" s="14" t="s">
        <v>83</v>
      </c>
      <c r="X5" s="19">
        <f>+AC5-E5</f>
        <v>1500</v>
      </c>
      <c r="Y5" s="13"/>
      <c r="AA5" s="12"/>
      <c r="AB5" s="20" t="s">
        <v>83</v>
      </c>
      <c r="AC5" s="21">
        <v>1500</v>
      </c>
      <c r="AD5" s="13"/>
    </row>
    <row r="6" spans="3:30" ht="14.4" x14ac:dyDescent="0.3">
      <c r="C6" s="7"/>
      <c r="D6" s="14" t="s">
        <v>85</v>
      </c>
      <c r="E6" s="15">
        <f>'Plan de charge'!O8</f>
        <v>0</v>
      </c>
      <c r="F6" s="8"/>
      <c r="H6" s="7"/>
      <c r="I6" s="22" t="s">
        <v>61</v>
      </c>
      <c r="J6" s="23">
        <f>'Plan de charge'!O34</f>
        <v>0</v>
      </c>
      <c r="K6" s="7"/>
      <c r="M6" s="7"/>
      <c r="N6" s="14" t="s">
        <v>12</v>
      </c>
      <c r="O6" s="24">
        <f>'Plan de charge'!G6</f>
        <v>0</v>
      </c>
      <c r="P6" s="4"/>
      <c r="W6" s="14" t="s">
        <v>28</v>
      </c>
      <c r="X6" s="19">
        <f>AC6-E9</f>
        <v>0</v>
      </c>
      <c r="Y6" s="13"/>
      <c r="AA6" s="12"/>
      <c r="AB6" s="14" t="s">
        <v>28</v>
      </c>
      <c r="AC6" s="19">
        <v>0</v>
      </c>
      <c r="AD6" s="13"/>
    </row>
    <row r="7" spans="3:30" ht="14.4" x14ac:dyDescent="0.3">
      <c r="C7" s="7"/>
      <c r="D7" s="14" t="s">
        <v>25</v>
      </c>
      <c r="E7" s="15">
        <f>'Plan de charge'!O9</f>
        <v>0</v>
      </c>
      <c r="F7" s="8"/>
      <c r="G7" s="25"/>
      <c r="H7" s="7"/>
      <c r="I7" s="4"/>
      <c r="J7" s="4"/>
      <c r="K7" s="8"/>
      <c r="L7" s="25"/>
      <c r="M7" s="7"/>
      <c r="N7" s="22" t="s">
        <v>86</v>
      </c>
      <c r="O7" s="26">
        <f>SUM('Plan de charge'!G7:G13)</f>
        <v>0</v>
      </c>
      <c r="P7" s="4"/>
      <c r="W7" s="14" t="s">
        <v>85</v>
      </c>
      <c r="X7" s="19">
        <f>AC7-E6</f>
        <v>28500</v>
      </c>
      <c r="Y7" s="13"/>
      <c r="AA7" s="12"/>
      <c r="AB7" s="20" t="s">
        <v>85</v>
      </c>
      <c r="AC7" s="21">
        <f>E32-AC5-AC6-AC8-AC9</f>
        <v>28500</v>
      </c>
      <c r="AD7" s="13"/>
    </row>
    <row r="8" spans="3:30" ht="14.4" x14ac:dyDescent="0.3">
      <c r="C8" s="7"/>
      <c r="D8" s="14" t="s">
        <v>87</v>
      </c>
      <c r="E8" s="15">
        <f>'Plan de charge'!O11</f>
        <v>0</v>
      </c>
      <c r="F8" s="8"/>
      <c r="H8" s="7"/>
      <c r="I8" s="187" t="s">
        <v>88</v>
      </c>
      <c r="J8" s="177"/>
      <c r="K8" s="8"/>
      <c r="M8" s="7"/>
      <c r="N8" s="27" t="s">
        <v>38</v>
      </c>
      <c r="O8" s="28">
        <f>SUM(O5:O7)</f>
        <v>0</v>
      </c>
      <c r="P8" s="7"/>
      <c r="W8" s="29" t="s">
        <v>89</v>
      </c>
      <c r="X8" s="30">
        <f>SUM(X5:X7)</f>
        <v>30000</v>
      </c>
      <c r="Y8" s="13"/>
      <c r="AA8" s="12"/>
      <c r="AB8" s="14" t="s">
        <v>25</v>
      </c>
      <c r="AC8" s="19">
        <f t="shared" ref="AC8:AC9" si="0">E7</f>
        <v>0</v>
      </c>
      <c r="AD8" s="13"/>
    </row>
    <row r="9" spans="3:30" ht="14.4" x14ac:dyDescent="0.3">
      <c r="C9" s="7"/>
      <c r="D9" s="14" t="s">
        <v>28</v>
      </c>
      <c r="E9" s="15">
        <f>'Plan de charge'!O10</f>
        <v>0</v>
      </c>
      <c r="F9" s="8"/>
      <c r="H9" s="7"/>
      <c r="I9" s="183" t="e">
        <f>J5+J6-#REF!</f>
        <v>#REF!</v>
      </c>
      <c r="J9" s="177"/>
      <c r="K9" s="8"/>
      <c r="M9" s="7"/>
      <c r="N9" s="4"/>
      <c r="O9" s="4"/>
      <c r="P9" s="8"/>
      <c r="Q9" s="16"/>
      <c r="W9" s="31"/>
      <c r="X9" s="31"/>
      <c r="Y9" s="13"/>
      <c r="AA9" s="12"/>
      <c r="AB9" s="14" t="s">
        <v>87</v>
      </c>
      <c r="AC9" s="19">
        <f t="shared" si="0"/>
        <v>0</v>
      </c>
      <c r="AD9" s="13"/>
    </row>
    <row r="10" spans="3:30" ht="14.4" x14ac:dyDescent="0.3">
      <c r="C10" s="7"/>
      <c r="D10" s="27" t="s">
        <v>89</v>
      </c>
      <c r="E10" s="28">
        <f>SUM(E5:E9)</f>
        <v>0</v>
      </c>
      <c r="F10" s="8"/>
      <c r="H10" s="32"/>
      <c r="I10" s="33"/>
      <c r="J10" s="33"/>
      <c r="K10" s="34"/>
      <c r="M10" s="7"/>
      <c r="N10" s="182" t="s">
        <v>90</v>
      </c>
      <c r="O10" s="177"/>
      <c r="P10" s="7"/>
      <c r="W10" s="179" t="s">
        <v>91</v>
      </c>
      <c r="X10" s="180"/>
      <c r="Y10" s="13"/>
      <c r="AA10" s="12"/>
      <c r="AB10" s="29" t="s">
        <v>89</v>
      </c>
      <c r="AC10" s="30">
        <f>SUM(AC5:AC9)</f>
        <v>30000</v>
      </c>
      <c r="AD10" s="13"/>
    </row>
    <row r="11" spans="3:30" ht="14.4" x14ac:dyDescent="0.3">
      <c r="C11" s="7"/>
      <c r="D11" s="4"/>
      <c r="E11" s="4"/>
      <c r="F11" s="8"/>
      <c r="M11" s="7"/>
      <c r="N11" s="14" t="s">
        <v>10</v>
      </c>
      <c r="O11" s="15">
        <f>'Plan de charge'!J5</f>
        <v>0</v>
      </c>
      <c r="P11" s="7"/>
      <c r="W11" s="35" t="s">
        <v>92</v>
      </c>
      <c r="X11" s="36" t="e">
        <f>D35-X12</f>
        <v>#REF!</v>
      </c>
      <c r="Y11" s="13"/>
      <c r="AA11" s="12"/>
      <c r="AB11" s="31"/>
      <c r="AC11" s="31"/>
      <c r="AD11" s="13"/>
    </row>
    <row r="12" spans="3:30" ht="14.4" x14ac:dyDescent="0.3">
      <c r="C12" s="7"/>
      <c r="D12" s="182" t="s">
        <v>93</v>
      </c>
      <c r="E12" s="177"/>
      <c r="F12" s="8"/>
      <c r="M12" s="7"/>
      <c r="N12" s="14" t="s">
        <v>27</v>
      </c>
      <c r="O12" s="15">
        <f>'Plan de charge'!J10</f>
        <v>0</v>
      </c>
      <c r="P12" s="7"/>
      <c r="W12" s="37" t="s">
        <v>94</v>
      </c>
      <c r="X12" s="38" t="e">
        <f>#REF!</f>
        <v>#REF!</v>
      </c>
      <c r="Y12" s="13"/>
      <c r="AA12" s="12"/>
      <c r="AB12" s="181" t="s">
        <v>93</v>
      </c>
      <c r="AC12" s="177"/>
      <c r="AD12" s="13"/>
    </row>
    <row r="13" spans="3:30" ht="17.25" customHeight="1" x14ac:dyDescent="0.3">
      <c r="C13" s="7"/>
      <c r="D13" s="14" t="s">
        <v>34</v>
      </c>
      <c r="E13" s="15">
        <f>'Plan de charge'!O12</f>
        <v>0</v>
      </c>
      <c r="F13" s="8"/>
      <c r="H13" s="175" t="s">
        <v>95</v>
      </c>
      <c r="I13" s="176"/>
      <c r="J13" s="176"/>
      <c r="K13" s="177"/>
      <c r="M13" s="7"/>
      <c r="N13" s="14" t="s">
        <v>96</v>
      </c>
      <c r="O13" s="15">
        <f>SUM('Plan de charge'!J6:J9)</f>
        <v>0</v>
      </c>
      <c r="P13" s="7"/>
      <c r="W13" s="29" t="s">
        <v>89</v>
      </c>
      <c r="X13" s="30" t="e">
        <f>SUM(X11:X12)</f>
        <v>#REF!</v>
      </c>
      <c r="Y13" s="13"/>
      <c r="AA13" s="12"/>
      <c r="AB13" s="17" t="s">
        <v>34</v>
      </c>
      <c r="AC13" s="39">
        <f t="shared" ref="AC13:AC14" si="1">E13</f>
        <v>0</v>
      </c>
      <c r="AD13" s="13"/>
    </row>
    <row r="14" spans="3:30" ht="14.4" x14ac:dyDescent="0.3">
      <c r="C14" s="7"/>
      <c r="D14" s="14" t="s">
        <v>97</v>
      </c>
      <c r="E14" s="15">
        <f>'Plan de charge'!O20+'Plan de charge'!O23</f>
        <v>0</v>
      </c>
      <c r="F14" s="8"/>
      <c r="H14" s="178" t="e">
        <f>I9+D28</f>
        <v>#REF!</v>
      </c>
      <c r="I14" s="176"/>
      <c r="J14" s="176"/>
      <c r="K14" s="177"/>
      <c r="M14" s="7"/>
      <c r="N14" s="14" t="s">
        <v>98</v>
      </c>
      <c r="O14" s="15">
        <f>'Plan de charge'!J18+'Plan de charge'!J19</f>
        <v>0</v>
      </c>
      <c r="P14" s="7"/>
      <c r="W14" s="31"/>
      <c r="X14" s="31"/>
      <c r="Y14" s="13"/>
      <c r="AA14" s="12"/>
      <c r="AB14" s="14" t="s">
        <v>99</v>
      </c>
      <c r="AC14" s="19">
        <f t="shared" si="1"/>
        <v>0</v>
      </c>
      <c r="AD14" s="13"/>
    </row>
    <row r="15" spans="3:30" ht="14.4" x14ac:dyDescent="0.3">
      <c r="C15" s="7"/>
      <c r="D15" s="14" t="s">
        <v>100</v>
      </c>
      <c r="E15" s="15">
        <f>'Plan de charge'!O21+'Plan de charge'!O24</f>
        <v>0</v>
      </c>
      <c r="F15" s="8"/>
      <c r="M15" s="7"/>
      <c r="N15" s="14" t="s">
        <v>54</v>
      </c>
      <c r="O15" s="15">
        <f>'Plan de charge'!J35</f>
        <v>0</v>
      </c>
      <c r="P15" s="7"/>
      <c r="W15" s="179" t="s">
        <v>101</v>
      </c>
      <c r="X15" s="180"/>
      <c r="Y15" s="13"/>
      <c r="AA15" s="12"/>
      <c r="AB15" s="20" t="s">
        <v>92</v>
      </c>
      <c r="AC15" s="21" t="e">
        <f>X11</f>
        <v>#REF!</v>
      </c>
      <c r="AD15" s="13"/>
    </row>
    <row r="16" spans="3:30" ht="14.4" x14ac:dyDescent="0.3">
      <c r="C16" s="7"/>
      <c r="D16" s="14" t="s">
        <v>102</v>
      </c>
      <c r="E16" s="15">
        <f>'Plan de charge'!O16+'Plan de charge'!O15</f>
        <v>0</v>
      </c>
      <c r="F16" s="8"/>
      <c r="M16" s="7"/>
      <c r="N16" s="14" t="s">
        <v>35</v>
      </c>
      <c r="O16" s="15">
        <f>'Plan de charge'!J23-SUM(O11:O14)</f>
        <v>0</v>
      </c>
      <c r="P16" s="7"/>
      <c r="W16" s="35" t="s">
        <v>103</v>
      </c>
      <c r="X16" s="36">
        <v>300</v>
      </c>
      <c r="Y16" s="13"/>
      <c r="AA16" s="12"/>
      <c r="AB16" s="29" t="s">
        <v>89</v>
      </c>
      <c r="AC16" s="30" t="e">
        <f>SUM(AC13:AC15)</f>
        <v>#REF!</v>
      </c>
      <c r="AD16" s="13"/>
    </row>
    <row r="17" spans="3:30" ht="14.4" x14ac:dyDescent="0.3">
      <c r="C17" s="7"/>
      <c r="D17" s="14" t="s">
        <v>104</v>
      </c>
      <c r="E17" s="15">
        <f>'Plan de charge'!O17</f>
        <v>0</v>
      </c>
      <c r="F17" s="8"/>
      <c r="M17" s="7"/>
      <c r="N17" s="27" t="s">
        <v>38</v>
      </c>
      <c r="O17" s="28">
        <f>SUM(O11:O16)</f>
        <v>0</v>
      </c>
      <c r="P17" s="7"/>
      <c r="W17" s="22" t="s">
        <v>21</v>
      </c>
      <c r="X17" s="40">
        <f>O19-X16</f>
        <v>-300</v>
      </c>
      <c r="Y17" s="13"/>
      <c r="AA17" s="12"/>
      <c r="AB17" s="31"/>
      <c r="AC17" s="31"/>
      <c r="AD17" s="13"/>
    </row>
    <row r="18" spans="3:30" ht="14.4" x14ac:dyDescent="0.3">
      <c r="C18" s="7"/>
      <c r="D18" s="27" t="s">
        <v>89</v>
      </c>
      <c r="E18" s="28">
        <f>SUM(E13:E17)</f>
        <v>0</v>
      </c>
      <c r="F18" s="8"/>
      <c r="M18" s="7"/>
      <c r="N18" s="4"/>
      <c r="O18" s="41"/>
      <c r="P18" s="8"/>
      <c r="W18" s="29" t="s">
        <v>89</v>
      </c>
      <c r="X18" s="30">
        <f>X17+X16</f>
        <v>0</v>
      </c>
      <c r="Y18" s="13"/>
      <c r="AA18" s="12"/>
      <c r="AB18" s="181" t="s">
        <v>105</v>
      </c>
      <c r="AC18" s="177"/>
      <c r="AD18" s="13"/>
    </row>
    <row r="19" spans="3:30" ht="15.75" customHeight="1" x14ac:dyDescent="0.3">
      <c r="C19" s="7"/>
      <c r="D19" s="4"/>
      <c r="E19" s="4"/>
      <c r="F19" s="8"/>
      <c r="M19" s="7"/>
      <c r="N19" s="42" t="s">
        <v>106</v>
      </c>
      <c r="O19" s="43">
        <f>O8-O17</f>
        <v>0</v>
      </c>
      <c r="P19" s="8"/>
      <c r="V19" s="12"/>
      <c r="W19" s="31"/>
      <c r="X19" s="31"/>
      <c r="Y19" s="13"/>
      <c r="AA19" s="12"/>
      <c r="AB19" s="14" t="s">
        <v>102</v>
      </c>
      <c r="AC19" s="19">
        <f>E16</f>
        <v>0</v>
      </c>
      <c r="AD19" s="13"/>
    </row>
    <row r="20" spans="3:30" ht="15.75" customHeight="1" x14ac:dyDescent="0.3">
      <c r="C20" s="7"/>
      <c r="D20" s="182" t="s">
        <v>105</v>
      </c>
      <c r="E20" s="177"/>
      <c r="F20" s="8"/>
      <c r="M20" s="32"/>
      <c r="N20" s="33"/>
      <c r="O20" s="33"/>
      <c r="P20" s="34"/>
      <c r="V20" s="12"/>
      <c r="W20" s="31"/>
      <c r="X20" s="31"/>
      <c r="Y20" s="13"/>
      <c r="AA20" s="12"/>
      <c r="AB20" s="14"/>
      <c r="AC20" s="19"/>
      <c r="AD20" s="13"/>
    </row>
    <row r="21" spans="3:30" ht="15.75" customHeight="1" x14ac:dyDescent="0.3">
      <c r="C21" s="7"/>
      <c r="D21" s="17" t="s">
        <v>107</v>
      </c>
      <c r="E21" s="18" t="e">
        <f>'Plan de charge'!#REF!</f>
        <v>#REF!</v>
      </c>
      <c r="F21" s="8"/>
      <c r="V21" s="12"/>
      <c r="W21" s="31"/>
      <c r="X21" s="31"/>
      <c r="Y21" s="13"/>
      <c r="AA21" s="12"/>
      <c r="AB21" s="14" t="s">
        <v>100</v>
      </c>
      <c r="AC21" s="19">
        <f>E15</f>
        <v>0</v>
      </c>
      <c r="AD21" s="13"/>
    </row>
    <row r="22" spans="3:30" ht="15.75" customHeight="1" x14ac:dyDescent="0.3">
      <c r="C22" s="7"/>
      <c r="D22" s="14" t="s">
        <v>108</v>
      </c>
      <c r="E22" s="15" t="e">
        <f>'Plan de charge'!#REF!</f>
        <v>#REF!</v>
      </c>
      <c r="F22" s="8"/>
      <c r="V22" s="12"/>
      <c r="W22" s="31"/>
      <c r="X22" s="31"/>
      <c r="Y22" s="13"/>
      <c r="AA22" s="12"/>
      <c r="AB22" s="14"/>
      <c r="AC22" s="19"/>
      <c r="AD22" s="13"/>
    </row>
    <row r="23" spans="3:30" ht="15.75" customHeight="1" x14ac:dyDescent="0.3">
      <c r="C23" s="7"/>
      <c r="D23" s="14" t="s">
        <v>41</v>
      </c>
      <c r="E23" s="15">
        <f>'Plan de charge'!O19</f>
        <v>0</v>
      </c>
      <c r="F23" s="8"/>
      <c r="V23" s="12"/>
      <c r="W23" s="31"/>
      <c r="X23" s="31"/>
      <c r="Y23" s="13"/>
      <c r="AA23" s="12"/>
      <c r="AB23" s="14" t="s">
        <v>104</v>
      </c>
      <c r="AC23" s="19">
        <f>E17</f>
        <v>0</v>
      </c>
      <c r="AD23" s="13"/>
    </row>
    <row r="24" spans="3:30" ht="15.75" customHeight="1" x14ac:dyDescent="0.3">
      <c r="C24" s="7"/>
      <c r="D24" s="22" t="s">
        <v>46</v>
      </c>
      <c r="E24" s="23" t="e">
        <f>'Plan de charge'!#REF!</f>
        <v>#REF!</v>
      </c>
      <c r="F24" s="8"/>
      <c r="V24" s="12"/>
      <c r="W24" s="31"/>
      <c r="X24" s="31"/>
      <c r="Y24" s="13"/>
      <c r="AA24" s="12"/>
      <c r="AB24" s="14"/>
      <c r="AC24" s="19"/>
      <c r="AD24" s="13"/>
    </row>
    <row r="25" spans="3:30" ht="15.75" customHeight="1" x14ac:dyDescent="0.3">
      <c r="C25" s="7"/>
      <c r="D25" s="27" t="s">
        <v>89</v>
      </c>
      <c r="E25" s="28" t="e">
        <f>SUM(E21:E24)</f>
        <v>#REF!</v>
      </c>
      <c r="F25" s="8"/>
      <c r="V25" s="12"/>
      <c r="W25" s="31"/>
      <c r="X25" s="31"/>
      <c r="Y25" s="13"/>
      <c r="AA25" s="12"/>
      <c r="AB25" s="14" t="s">
        <v>41</v>
      </c>
      <c r="AC25" s="19">
        <f>E23</f>
        <v>0</v>
      </c>
      <c r="AD25" s="13"/>
    </row>
    <row r="26" spans="3:30" ht="15.75" customHeight="1" x14ac:dyDescent="0.3">
      <c r="C26" s="7"/>
      <c r="D26" s="4"/>
      <c r="E26" s="4"/>
      <c r="F26" s="8"/>
      <c r="V26" s="12"/>
      <c r="W26" s="31"/>
      <c r="X26" s="31"/>
      <c r="Y26" s="13"/>
      <c r="AA26" s="12"/>
      <c r="AB26" s="29" t="s">
        <v>89</v>
      </c>
      <c r="AC26" s="30">
        <f>SUM(AC19:AC25)</f>
        <v>0</v>
      </c>
      <c r="AD26" s="13"/>
    </row>
    <row r="27" spans="3:30" ht="15.75" customHeight="1" x14ac:dyDescent="0.3">
      <c r="C27" s="7"/>
      <c r="D27" s="186" t="s">
        <v>109</v>
      </c>
      <c r="E27" s="177"/>
      <c r="F27" s="8"/>
      <c r="V27" s="44"/>
      <c r="W27" s="45"/>
      <c r="X27" s="45"/>
      <c r="Y27" s="46"/>
      <c r="AA27" s="12"/>
      <c r="AB27" s="31"/>
      <c r="AC27" s="31"/>
      <c r="AD27" s="13"/>
    </row>
    <row r="28" spans="3:30" ht="15.75" customHeight="1" x14ac:dyDescent="0.3">
      <c r="C28" s="7"/>
      <c r="D28" s="183" t="e">
        <f>E18+E10+E25</f>
        <v>#REF!</v>
      </c>
      <c r="E28" s="177"/>
      <c r="F28" s="8"/>
      <c r="AA28" s="44"/>
      <c r="AB28" s="45"/>
      <c r="AC28" s="45"/>
      <c r="AD28" s="46"/>
    </row>
    <row r="29" spans="3:30" ht="15.75" customHeight="1" x14ac:dyDescent="0.3">
      <c r="C29" s="7"/>
      <c r="D29" s="4"/>
      <c r="E29" s="4"/>
      <c r="F29" s="8"/>
    </row>
    <row r="30" spans="3:30" ht="15.75" customHeight="1" x14ac:dyDescent="0.3">
      <c r="C30" s="7"/>
      <c r="D30" s="4"/>
      <c r="E30" s="4"/>
      <c r="F30" s="8"/>
    </row>
    <row r="31" spans="3:30" ht="15.75" customHeight="1" x14ac:dyDescent="0.3">
      <c r="C31" s="7"/>
      <c r="D31" s="184" t="s">
        <v>110</v>
      </c>
      <c r="E31" s="177"/>
      <c r="F31" s="8"/>
    </row>
    <row r="32" spans="3:30" ht="15.75" customHeight="1" x14ac:dyDescent="0.3">
      <c r="C32" s="7"/>
      <c r="D32" s="47" t="s">
        <v>21</v>
      </c>
      <c r="E32" s="48">
        <v>30000</v>
      </c>
      <c r="F32" s="8"/>
    </row>
    <row r="33" spans="2:24" ht="15.75" customHeight="1" x14ac:dyDescent="0.3">
      <c r="C33" s="7"/>
      <c r="D33" s="4"/>
      <c r="E33" s="4"/>
      <c r="F33" s="8"/>
    </row>
    <row r="34" spans="2:24" ht="15.75" customHeight="1" x14ac:dyDescent="0.3">
      <c r="C34" s="7"/>
      <c r="D34" s="185" t="s">
        <v>111</v>
      </c>
      <c r="E34" s="177"/>
      <c r="F34" s="8"/>
    </row>
    <row r="35" spans="2:24" ht="15.75" customHeight="1" x14ac:dyDescent="0.3">
      <c r="C35" s="7"/>
      <c r="D35" s="183">
        <f>E10-E32</f>
        <v>-30000</v>
      </c>
      <c r="E35" s="177"/>
      <c r="F35" s="8"/>
    </row>
    <row r="36" spans="2:24" ht="15.75" customHeight="1" x14ac:dyDescent="0.3">
      <c r="C36" s="32"/>
      <c r="D36" s="33"/>
      <c r="E36" s="33"/>
      <c r="F36" s="34"/>
    </row>
    <row r="37" spans="2:24" ht="15.75" customHeight="1" x14ac:dyDescent="0.3"/>
    <row r="38" spans="2:24" ht="15.75" customHeight="1" x14ac:dyDescent="0.3">
      <c r="B38" s="49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1"/>
    </row>
    <row r="39" spans="2:24" ht="15.75" customHeight="1" x14ac:dyDescent="0.3">
      <c r="B39" s="52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4"/>
    </row>
    <row r="40" spans="2:24" ht="15.75" customHeight="1" x14ac:dyDescent="0.3">
      <c r="B40" s="52"/>
      <c r="C40" s="55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4"/>
      <c r="W40" s="56" t="s">
        <v>112</v>
      </c>
      <c r="X40" s="39">
        <f>AC10</f>
        <v>30000</v>
      </c>
    </row>
    <row r="41" spans="2:24" ht="15.75" customHeight="1" x14ac:dyDescent="0.3">
      <c r="B41" s="52"/>
      <c r="C41" s="55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4"/>
      <c r="W41" s="57" t="s">
        <v>113</v>
      </c>
      <c r="X41" s="19">
        <f>AC13</f>
        <v>0</v>
      </c>
    </row>
    <row r="42" spans="2:24" ht="15.75" customHeight="1" x14ac:dyDescent="0.3">
      <c r="B42" s="52"/>
      <c r="C42" s="55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4"/>
      <c r="W42" s="57" t="s">
        <v>114</v>
      </c>
      <c r="X42" s="19" t="e">
        <f t="shared" ref="X42:X44" si="2">AC15</f>
        <v>#REF!</v>
      </c>
    </row>
    <row r="43" spans="2:24" ht="15.75" customHeight="1" x14ac:dyDescent="0.3">
      <c r="B43" s="52"/>
      <c r="C43" s="55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4"/>
      <c r="W43" s="57" t="s">
        <v>115</v>
      </c>
      <c r="X43" s="19" t="e">
        <f t="shared" si="2"/>
        <v>#REF!</v>
      </c>
    </row>
    <row r="44" spans="2:24" ht="15.75" customHeight="1" x14ac:dyDescent="0.3">
      <c r="B44" s="52"/>
      <c r="C44" s="55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4"/>
      <c r="W44" s="57" t="s">
        <v>116</v>
      </c>
      <c r="X44" s="19">
        <f t="shared" si="2"/>
        <v>0</v>
      </c>
    </row>
    <row r="45" spans="2:24" ht="15.75" customHeight="1" x14ac:dyDescent="0.3">
      <c r="B45" s="52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4"/>
      <c r="W45" s="57" t="s">
        <v>117</v>
      </c>
      <c r="X45" s="19">
        <f>AC21</f>
        <v>0</v>
      </c>
    </row>
    <row r="46" spans="2:24" ht="15.75" customHeight="1" x14ac:dyDescent="0.3">
      <c r="B46" s="52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4"/>
      <c r="W46" s="58" t="s">
        <v>118</v>
      </c>
      <c r="X46" s="40">
        <f>AC19</f>
        <v>0</v>
      </c>
    </row>
    <row r="47" spans="2:24" ht="15.75" customHeight="1" x14ac:dyDescent="0.3">
      <c r="B47" s="52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4"/>
    </row>
    <row r="48" spans="2:24" ht="15.75" customHeight="1" x14ac:dyDescent="0.3">
      <c r="B48" s="52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4"/>
    </row>
    <row r="49" spans="2:17" ht="15.75" customHeight="1" x14ac:dyDescent="0.3">
      <c r="B49" s="52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4"/>
    </row>
    <row r="50" spans="2:17" ht="15.75" customHeight="1" x14ac:dyDescent="0.3">
      <c r="B50" s="52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4"/>
    </row>
    <row r="51" spans="2:17" ht="15.75" customHeight="1" x14ac:dyDescent="0.3">
      <c r="B51" s="52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4"/>
    </row>
    <row r="52" spans="2:17" ht="15.75" customHeight="1" x14ac:dyDescent="0.3">
      <c r="B52" s="52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4"/>
    </row>
    <row r="53" spans="2:17" ht="15.75" customHeight="1" x14ac:dyDescent="0.3">
      <c r="B53" s="52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4"/>
    </row>
    <row r="54" spans="2:17" ht="15.75" customHeight="1" x14ac:dyDescent="0.3">
      <c r="B54" s="52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4"/>
    </row>
    <row r="55" spans="2:17" ht="15.75" customHeight="1" x14ac:dyDescent="0.3">
      <c r="B55" s="52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4"/>
    </row>
    <row r="56" spans="2:17" ht="15.75" customHeight="1" x14ac:dyDescent="0.3">
      <c r="B56" s="52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4"/>
    </row>
    <row r="57" spans="2:17" ht="15.75" customHeight="1" x14ac:dyDescent="0.3">
      <c r="B57" s="52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4"/>
    </row>
    <row r="58" spans="2:17" ht="15.75" customHeight="1" x14ac:dyDescent="0.3">
      <c r="B58" s="52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4"/>
    </row>
    <row r="59" spans="2:17" ht="15.75" customHeight="1" x14ac:dyDescent="0.3">
      <c r="B59" s="52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4"/>
    </row>
    <row r="60" spans="2:17" ht="15.75" customHeight="1" x14ac:dyDescent="0.3">
      <c r="B60" s="52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4"/>
    </row>
    <row r="61" spans="2:17" ht="15.75" customHeight="1" x14ac:dyDescent="0.3">
      <c r="B61" s="52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4"/>
    </row>
    <row r="62" spans="2:17" ht="15.75" customHeight="1" x14ac:dyDescent="0.3">
      <c r="B62" s="52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4"/>
    </row>
    <row r="63" spans="2:17" ht="15.75" customHeight="1" x14ac:dyDescent="0.3">
      <c r="B63" s="52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4"/>
    </row>
    <row r="64" spans="2:17" ht="15.75" customHeight="1" x14ac:dyDescent="0.3">
      <c r="B64" s="52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4"/>
    </row>
    <row r="65" spans="2:28" ht="15.75" customHeight="1" x14ac:dyDescent="0.3">
      <c r="B65" s="52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4"/>
    </row>
    <row r="66" spans="2:28" ht="15.75" customHeight="1" x14ac:dyDescent="0.3">
      <c r="B66" s="52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4"/>
      <c r="AB66" s="59"/>
    </row>
    <row r="67" spans="2:28" ht="15.75" customHeight="1" x14ac:dyDescent="0.3">
      <c r="B67" s="52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4"/>
    </row>
    <row r="68" spans="2:28" ht="15.75" customHeight="1" x14ac:dyDescent="0.3">
      <c r="B68" s="52"/>
      <c r="C68" s="53"/>
      <c r="D68" s="53"/>
      <c r="E68" s="53">
        <f>150*18</f>
        <v>2700</v>
      </c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4"/>
    </row>
    <row r="69" spans="2:28" ht="15.75" customHeight="1" x14ac:dyDescent="0.3">
      <c r="B69" s="52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4"/>
    </row>
    <row r="70" spans="2:28" ht="15.75" customHeight="1" x14ac:dyDescent="0.3">
      <c r="B70" s="52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4"/>
    </row>
    <row r="71" spans="2:28" ht="15.75" customHeight="1" x14ac:dyDescent="0.3">
      <c r="B71" s="52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4"/>
    </row>
    <row r="72" spans="2:28" ht="15.75" customHeight="1" x14ac:dyDescent="0.3">
      <c r="B72" s="52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4"/>
    </row>
    <row r="73" spans="2:28" ht="15.75" customHeight="1" x14ac:dyDescent="0.3">
      <c r="B73" s="52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4"/>
    </row>
    <row r="74" spans="2:28" ht="15.75" customHeight="1" x14ac:dyDescent="0.3">
      <c r="B74" s="5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4"/>
    </row>
    <row r="75" spans="2:28" ht="15.75" customHeight="1" x14ac:dyDescent="0.3">
      <c r="B75" s="52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4"/>
    </row>
    <row r="76" spans="2:28" ht="15.75" customHeight="1" x14ac:dyDescent="0.3">
      <c r="B76" s="52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</row>
    <row r="77" spans="2:28" ht="15.75" customHeight="1" x14ac:dyDescent="0.3">
      <c r="B77" s="60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2"/>
    </row>
    <row r="78" spans="2:28" ht="15.75" customHeight="1" x14ac:dyDescent="0.3"/>
    <row r="79" spans="2:28" ht="15.75" customHeight="1" x14ac:dyDescent="0.3"/>
    <row r="80" spans="2:28" ht="15.75" customHeight="1" x14ac:dyDescent="0.3"/>
    <row r="81" spans="4:15" ht="15.75" customHeight="1" x14ac:dyDescent="0.3">
      <c r="D81" s="63" t="s">
        <v>112</v>
      </c>
      <c r="E81" s="64">
        <f>E10</f>
        <v>0</v>
      </c>
      <c r="N81" s="63" t="s">
        <v>119</v>
      </c>
      <c r="O81" s="64">
        <f>SUM('Plan de charge'!O5:O11)</f>
        <v>0</v>
      </c>
    </row>
    <row r="82" spans="4:15" ht="15.75" customHeight="1" x14ac:dyDescent="0.3">
      <c r="D82" s="65" t="s">
        <v>113</v>
      </c>
      <c r="E82" s="66">
        <f>E13</f>
        <v>0</v>
      </c>
      <c r="N82" s="65" t="s">
        <v>120</v>
      </c>
      <c r="O82" s="66" t="e">
        <f>SUM('Plan de charge'!O12:O17,'Plan de charge'!O20:O25,'Plan de charge'!#REF!)</f>
        <v>#REF!</v>
      </c>
    </row>
    <row r="83" spans="4:15" ht="15.75" customHeight="1" x14ac:dyDescent="0.3">
      <c r="D83" s="65" t="s">
        <v>121</v>
      </c>
      <c r="E83" s="66">
        <f>E14+E15</f>
        <v>0</v>
      </c>
      <c r="N83" s="67" t="s">
        <v>122</v>
      </c>
      <c r="O83" s="68" t="e">
        <f>'Plan de charge'!O19+'Plan de charge'!#REF!+'Plan de charge'!#REF!+I9+'Plan de charge'!#REF!</f>
        <v>#REF!</v>
      </c>
    </row>
    <row r="84" spans="4:15" ht="15.75" customHeight="1" x14ac:dyDescent="0.3">
      <c r="D84" s="65" t="s">
        <v>123</v>
      </c>
      <c r="E84" s="66">
        <f>E17</f>
        <v>0</v>
      </c>
      <c r="N84" s="69"/>
      <c r="O84" s="70"/>
    </row>
    <row r="85" spans="4:15" ht="15.75" customHeight="1" x14ac:dyDescent="0.3">
      <c r="D85" s="65" t="s">
        <v>124</v>
      </c>
      <c r="E85" s="66">
        <f>E16</f>
        <v>0</v>
      </c>
      <c r="N85" s="63" t="s">
        <v>125</v>
      </c>
      <c r="O85" s="64" t="e">
        <f>SUM('Plan de charge'!O5:O12,'Plan de charge'!O20,'Plan de charge'!O23,'Plan de charge'!#REF!,'Plan de charge'!#REF!)</f>
        <v>#REF!</v>
      </c>
    </row>
    <row r="86" spans="4:15" ht="15.75" customHeight="1" x14ac:dyDescent="0.3">
      <c r="D86" s="65" t="s">
        <v>126</v>
      </c>
      <c r="E86" s="66" t="e">
        <f>E21+E22</f>
        <v>#REF!</v>
      </c>
      <c r="N86" s="65" t="s">
        <v>127</v>
      </c>
      <c r="O86" s="66" t="e">
        <f>SUM('Plan de charge'!O15:O19,'Plan de charge'!O21,'Plan de charge'!O24,'Plan de charge'!#REF!,'Plan de charge'!#REF!)</f>
        <v>#REF!</v>
      </c>
    </row>
    <row r="87" spans="4:15" ht="15.75" customHeight="1" x14ac:dyDescent="0.3">
      <c r="D87" s="65" t="s">
        <v>116</v>
      </c>
      <c r="E87" s="66">
        <f t="shared" ref="E87:E88" si="3">E23</f>
        <v>0</v>
      </c>
      <c r="N87" s="65" t="s">
        <v>80</v>
      </c>
      <c r="O87" s="66" t="e">
        <f>I9</f>
        <v>#REF!</v>
      </c>
    </row>
    <row r="88" spans="4:15" ht="15.75" customHeight="1" x14ac:dyDescent="0.3">
      <c r="D88" s="65" t="s">
        <v>128</v>
      </c>
      <c r="E88" s="66" t="e">
        <f t="shared" si="3"/>
        <v>#REF!</v>
      </c>
      <c r="N88" s="67" t="s">
        <v>46</v>
      </c>
      <c r="O88" s="68" t="e">
        <f>'Plan de charge'!#REF!</f>
        <v>#REF!</v>
      </c>
    </row>
    <row r="89" spans="4:15" ht="15.75" customHeight="1" x14ac:dyDescent="0.3">
      <c r="D89" s="67" t="s">
        <v>129</v>
      </c>
      <c r="E89" s="68" t="e">
        <f>I9</f>
        <v>#REF!</v>
      </c>
    </row>
    <row r="90" spans="4:15" ht="15.75" customHeight="1" x14ac:dyDescent="0.3"/>
    <row r="91" spans="4:15" ht="15.75" customHeight="1" x14ac:dyDescent="0.3"/>
    <row r="92" spans="4:15" ht="15.75" customHeight="1" x14ac:dyDescent="0.3"/>
    <row r="93" spans="4:15" ht="15.75" customHeight="1" x14ac:dyDescent="0.3"/>
    <row r="94" spans="4:15" ht="15.75" customHeight="1" x14ac:dyDescent="0.3"/>
    <row r="95" spans="4:15" ht="15.75" customHeight="1" x14ac:dyDescent="0.3"/>
    <row r="96" spans="4:15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C2:F2"/>
    <mergeCell ref="H2:K2"/>
    <mergeCell ref="M2:P2"/>
    <mergeCell ref="AA2:AD2"/>
    <mergeCell ref="D4:E4"/>
    <mergeCell ref="I4:J4"/>
    <mergeCell ref="N4:O4"/>
    <mergeCell ref="AB4:AC4"/>
    <mergeCell ref="V2:Y2"/>
    <mergeCell ref="W4:X4"/>
    <mergeCell ref="I8:J8"/>
    <mergeCell ref="I9:J9"/>
    <mergeCell ref="N10:O10"/>
    <mergeCell ref="W10:X10"/>
    <mergeCell ref="AB12:AC12"/>
    <mergeCell ref="D28:E28"/>
    <mergeCell ref="D31:E31"/>
    <mergeCell ref="D34:E34"/>
    <mergeCell ref="D35:E35"/>
    <mergeCell ref="D12:E12"/>
    <mergeCell ref="D27:E27"/>
    <mergeCell ref="H13:K13"/>
    <mergeCell ref="H14:K14"/>
    <mergeCell ref="W15:X15"/>
    <mergeCell ref="AB18:AC18"/>
    <mergeCell ref="D20:E20"/>
  </mergeCells>
  <pageMargins left="0.7" right="0.7" top="0.75" bottom="0.75" header="0" footer="0"/>
  <pageSetup paperSize="9" orientation="portrait"/>
  <headerFooter>
    <oddFooter>&amp;L_x000D_&amp;1#&amp;"Aptos"&amp;10&amp;K008000 Confidential -C2- Internal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4" spans="2:2" ht="14.4" x14ac:dyDescent="0.3">
      <c r="B4" s="71" t="s">
        <v>130</v>
      </c>
    </row>
    <row r="6" spans="2:2" ht="14.4" x14ac:dyDescent="0.3">
      <c r="B6" s="71" t="s">
        <v>131</v>
      </c>
    </row>
    <row r="7" spans="2:2" ht="14.4" x14ac:dyDescent="0.3">
      <c r="B7" s="71" t="s">
        <v>132</v>
      </c>
    </row>
    <row r="8" spans="2:2" ht="14.4" x14ac:dyDescent="0.3">
      <c r="B8" s="71" t="s">
        <v>133</v>
      </c>
    </row>
    <row r="9" spans="2:2" ht="14.4" x14ac:dyDescent="0.3">
      <c r="B9" s="71" t="s">
        <v>134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headerFooter>
    <oddFooter>&amp;L_x000D_&amp;1#&amp;"Aptos"&amp;10&amp;K008000 Confidential -C2-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9000"/>
  </sheetPr>
  <dimension ref="B2:Q1000"/>
  <sheetViews>
    <sheetView showGridLines="0" workbookViewId="0"/>
  </sheetViews>
  <sheetFormatPr baseColWidth="10" defaultColWidth="14.44140625" defaultRowHeight="15" customHeight="1" x14ac:dyDescent="0.3"/>
  <cols>
    <col min="1" max="1" width="1.6640625" customWidth="1"/>
    <col min="2" max="2" width="22.6640625" customWidth="1"/>
    <col min="3" max="3" width="12.44140625" customWidth="1"/>
    <col min="4" max="4" width="7.6640625" customWidth="1"/>
    <col min="5" max="5" width="2.77734375" customWidth="1"/>
    <col min="6" max="6" width="24.77734375" customWidth="1"/>
    <col min="7" max="7" width="19.77734375" customWidth="1"/>
    <col min="8" max="8" width="2.77734375" customWidth="1"/>
    <col min="9" max="9" width="8.77734375" customWidth="1"/>
    <col min="10" max="10" width="2.77734375" customWidth="1"/>
    <col min="11" max="11" width="24.77734375" customWidth="1"/>
    <col min="12" max="12" width="19.77734375" customWidth="1"/>
    <col min="13" max="13" width="2.77734375" customWidth="1"/>
    <col min="14" max="14" width="8.77734375" customWidth="1"/>
    <col min="15" max="15" width="2.77734375" customWidth="1"/>
    <col min="16" max="16" width="24.77734375" customWidth="1"/>
    <col min="17" max="17" width="19.77734375" customWidth="1"/>
    <col min="18" max="26" width="10.6640625" customWidth="1"/>
  </cols>
  <sheetData>
    <row r="2" spans="2:17" ht="15.6" x14ac:dyDescent="0.3">
      <c r="B2" s="192" t="s">
        <v>135</v>
      </c>
      <c r="C2" s="177"/>
      <c r="E2" s="193" t="s">
        <v>77</v>
      </c>
      <c r="F2" s="189"/>
      <c r="G2" s="189"/>
      <c r="H2" s="190"/>
      <c r="J2" s="193" t="s">
        <v>136</v>
      </c>
      <c r="K2" s="189"/>
      <c r="L2" s="189"/>
      <c r="M2" s="190"/>
    </row>
    <row r="3" spans="2:17" ht="15.6" x14ac:dyDescent="0.3">
      <c r="B3" s="72" t="s">
        <v>137</v>
      </c>
      <c r="C3" s="73" t="e">
        <f>Patrimoine!D28</f>
        <v>#REF!</v>
      </c>
      <c r="E3" s="9"/>
      <c r="F3" s="10"/>
      <c r="G3" s="10"/>
      <c r="H3" s="11"/>
      <c r="J3" s="9"/>
      <c r="K3" s="10"/>
      <c r="L3" s="10"/>
      <c r="M3" s="11"/>
    </row>
    <row r="4" spans="2:17" ht="15.6" x14ac:dyDescent="0.3">
      <c r="B4" s="74" t="s">
        <v>138</v>
      </c>
      <c r="C4" s="75" t="e">
        <f>Patrimoine!I9</f>
        <v>#REF!</v>
      </c>
      <c r="E4" s="12"/>
      <c r="F4" s="185" t="s">
        <v>139</v>
      </c>
      <c r="G4" s="177"/>
      <c r="H4" s="13"/>
      <c r="J4" s="12"/>
      <c r="K4" s="181" t="s">
        <v>79</v>
      </c>
      <c r="L4" s="177"/>
      <c r="M4" s="13"/>
      <c r="P4" s="17" t="s">
        <v>140</v>
      </c>
      <c r="Q4" s="76" t="b">
        <f>L10=Epargne_Precaution</f>
        <v>1</v>
      </c>
    </row>
    <row r="5" spans="2:17" ht="15.6" x14ac:dyDescent="0.3">
      <c r="B5" s="74" t="s">
        <v>141</v>
      </c>
      <c r="C5" s="75" t="e">
        <f>Patrimoine_Total</f>
        <v>#REF!</v>
      </c>
      <c r="E5" s="12"/>
      <c r="F5" s="183">
        <f>Montant_Investir</f>
        <v>-30000</v>
      </c>
      <c r="G5" s="177"/>
      <c r="H5" s="13"/>
      <c r="J5" s="12"/>
      <c r="K5" s="14" t="s">
        <v>83</v>
      </c>
      <c r="L5" s="15">
        <v>1000</v>
      </c>
      <c r="M5" s="13"/>
      <c r="N5" s="16"/>
      <c r="P5" s="14" t="s">
        <v>142</v>
      </c>
      <c r="Q5" s="77" t="b">
        <f>G24=Montant_Investir</f>
        <v>0</v>
      </c>
    </row>
    <row r="6" spans="2:17" ht="15.6" x14ac:dyDescent="0.3">
      <c r="B6" s="74" t="s">
        <v>143</v>
      </c>
      <c r="C6" s="75">
        <f>Epargne_Precaution</f>
        <v>30000</v>
      </c>
      <c r="E6" s="12"/>
      <c r="F6" s="31"/>
      <c r="G6" s="31"/>
      <c r="H6" s="13"/>
      <c r="J6" s="12"/>
      <c r="K6" s="14" t="s">
        <v>87</v>
      </c>
      <c r="L6" s="15">
        <f>G9+Patrimoine!E8</f>
        <v>0</v>
      </c>
      <c r="M6" s="13"/>
      <c r="P6" s="14" t="s">
        <v>144</v>
      </c>
      <c r="Q6" s="77" t="b">
        <f>G31=Budget_Théorique</f>
        <v>1</v>
      </c>
    </row>
    <row r="7" spans="2:17" ht="15.6" x14ac:dyDescent="0.3">
      <c r="B7" s="78" t="s">
        <v>145</v>
      </c>
      <c r="C7" s="79">
        <f>Montant_Investir</f>
        <v>-30000</v>
      </c>
      <c r="E7" s="12"/>
      <c r="F7" s="181" t="s">
        <v>82</v>
      </c>
      <c r="G7" s="177"/>
      <c r="H7" s="13"/>
      <c r="J7" s="12"/>
      <c r="K7" s="14" t="s">
        <v>85</v>
      </c>
      <c r="L7" s="15">
        <f>G10+Patrimoine!E6</f>
        <v>29000</v>
      </c>
      <c r="M7" s="13"/>
      <c r="N7" s="25"/>
      <c r="P7" s="22" t="s">
        <v>146</v>
      </c>
      <c r="Q7" s="80" t="e">
        <f>K31+G23=Patrimoine_Total</f>
        <v>#REF!</v>
      </c>
    </row>
    <row r="8" spans="2:17" ht="15.6" x14ac:dyDescent="0.3">
      <c r="B8" s="78" t="s">
        <v>147</v>
      </c>
      <c r="C8" s="79">
        <f>Budget_Théorique</f>
        <v>0</v>
      </c>
      <c r="E8" s="12"/>
      <c r="F8" s="14" t="s">
        <v>83</v>
      </c>
      <c r="G8" s="15">
        <f>L5-CC_0</f>
        <v>1000</v>
      </c>
      <c r="H8" s="13"/>
      <c r="J8" s="12"/>
      <c r="K8" s="14" t="s">
        <v>25</v>
      </c>
      <c r="L8" s="15">
        <f>G11+Patrimoine!E7</f>
        <v>0</v>
      </c>
      <c r="M8" s="13"/>
    </row>
    <row r="9" spans="2:17" ht="15.6" x14ac:dyDescent="0.3">
      <c r="B9" s="81" t="s">
        <v>148</v>
      </c>
      <c r="C9" s="82" t="s">
        <v>149</v>
      </c>
      <c r="E9" s="12"/>
      <c r="F9" s="14" t="s">
        <v>87</v>
      </c>
      <c r="G9" s="15">
        <f>IF(LJ_0&gt;Epargne_Precaution-'Solution Patrimoniale'!L5,(Epargne_Precaution-'Solution Patrimoniale'!L5)-LJ_0,0)</f>
        <v>0</v>
      </c>
      <c r="H9" s="13"/>
      <c r="J9" s="12"/>
      <c r="K9" s="14" t="s">
        <v>28</v>
      </c>
      <c r="L9" s="15">
        <f>G12+Patrimoine!E9</f>
        <v>0</v>
      </c>
      <c r="M9" s="13"/>
    </row>
    <row r="10" spans="2:17" ht="14.4" x14ac:dyDescent="0.3">
      <c r="E10" s="12"/>
      <c r="F10" s="14" t="s">
        <v>85</v>
      </c>
      <c r="G10" s="15">
        <f>IF(SUM($L$5:L6)&lt;Epargne_Precaution,Epargne_Precaution-SUM($L$5:L6)-LA_0,-LA_0)</f>
        <v>29000</v>
      </c>
      <c r="H10" s="13"/>
      <c r="J10" s="12"/>
      <c r="K10" s="29" t="s">
        <v>89</v>
      </c>
      <c r="L10" s="83">
        <f>SUM(L5:L9)</f>
        <v>30000</v>
      </c>
      <c r="M10" s="13"/>
    </row>
    <row r="11" spans="2:17" ht="14.4" x14ac:dyDescent="0.3">
      <c r="E11" s="12"/>
      <c r="F11" s="14" t="s">
        <v>25</v>
      </c>
      <c r="G11" s="15">
        <f>IF(SUM($L$5:L7)&lt;Epargne_Precaution,Epargne_Precaution-SUM($L$5:L7)-LDD_0,-LDD_0)</f>
        <v>0</v>
      </c>
      <c r="H11" s="13"/>
      <c r="J11" s="12"/>
      <c r="K11" s="31"/>
      <c r="L11" s="31"/>
      <c r="M11" s="13"/>
    </row>
    <row r="12" spans="2:17" ht="17.25" customHeight="1" x14ac:dyDescent="0.3">
      <c r="E12" s="12"/>
      <c r="F12" s="14" t="s">
        <v>28</v>
      </c>
      <c r="G12" s="15">
        <f>IF(SUM($L$5:L8)&lt;Epargne_Precaution,Epargne_Precaution-SUM($L$5:L8)-CEL_0,-CEL_0)</f>
        <v>0</v>
      </c>
      <c r="H12" s="13"/>
      <c r="J12" s="12"/>
      <c r="K12" s="181" t="s">
        <v>93</v>
      </c>
      <c r="L12" s="177"/>
      <c r="M12" s="13"/>
    </row>
    <row r="13" spans="2:17" ht="14.4" x14ac:dyDescent="0.3">
      <c r="E13" s="12"/>
      <c r="F13" s="29" t="s">
        <v>89</v>
      </c>
      <c r="G13" s="83">
        <f>SUM(G8:G12)</f>
        <v>30000</v>
      </c>
      <c r="H13" s="13"/>
      <c r="J13" s="12"/>
      <c r="K13" s="14" t="s">
        <v>34</v>
      </c>
      <c r="L13" s="15">
        <f>G16+PEL_0</f>
        <v>0</v>
      </c>
      <c r="M13" s="13"/>
    </row>
    <row r="14" spans="2:17" ht="14.4" x14ac:dyDescent="0.3">
      <c r="E14" s="12"/>
      <c r="F14" s="31"/>
      <c r="G14" s="31"/>
      <c r="H14" s="13"/>
      <c r="J14" s="12"/>
      <c r="K14" s="14" t="s">
        <v>97</v>
      </c>
      <c r="L14" s="15">
        <f>G17+Ass_Vie_Euros_0</f>
        <v>20000</v>
      </c>
      <c r="M14" s="13"/>
    </row>
    <row r="15" spans="2:17" ht="14.4" x14ac:dyDescent="0.3">
      <c r="E15" s="12"/>
      <c r="F15" s="181" t="s">
        <v>150</v>
      </c>
      <c r="G15" s="177"/>
      <c r="H15" s="13"/>
      <c r="J15" s="12"/>
      <c r="K15" s="14" t="s">
        <v>151</v>
      </c>
      <c r="L15" s="15">
        <f>G18</f>
        <v>0</v>
      </c>
      <c r="M15" s="13"/>
    </row>
    <row r="16" spans="2:17" ht="14.4" x14ac:dyDescent="0.3">
      <c r="E16" s="12"/>
      <c r="F16" s="14" t="s">
        <v>34</v>
      </c>
      <c r="G16" s="15">
        <v>0</v>
      </c>
      <c r="H16" s="13"/>
      <c r="J16" s="12"/>
      <c r="K16" s="14" t="s">
        <v>100</v>
      </c>
      <c r="L16" s="15">
        <f>G19+Ass_Vie_UC_0</f>
        <v>0</v>
      </c>
      <c r="M16" s="13"/>
    </row>
    <row r="17" spans="5:13" ht="14.4" x14ac:dyDescent="0.3">
      <c r="E17" s="12"/>
      <c r="F17" s="14" t="s">
        <v>152</v>
      </c>
      <c r="G17" s="15">
        <v>20000</v>
      </c>
      <c r="H17" s="13"/>
      <c r="J17" s="12"/>
      <c r="K17" s="14" t="s">
        <v>102</v>
      </c>
      <c r="L17" s="15">
        <f>G20+PEA_0</f>
        <v>0</v>
      </c>
      <c r="M17" s="13"/>
    </row>
    <row r="18" spans="5:13" ht="15.75" customHeight="1" x14ac:dyDescent="0.3">
      <c r="E18" s="12"/>
      <c r="F18" s="14" t="s">
        <v>153</v>
      </c>
      <c r="G18" s="15">
        <v>0</v>
      </c>
      <c r="H18" s="13"/>
      <c r="J18" s="12"/>
      <c r="K18" s="14" t="s">
        <v>104</v>
      </c>
      <c r="L18" s="15">
        <f>G21+PEE_0</f>
        <v>0</v>
      </c>
      <c r="M18" s="13"/>
    </row>
    <row r="19" spans="5:13" ht="15.75" customHeight="1" x14ac:dyDescent="0.3">
      <c r="E19" s="12"/>
      <c r="F19" s="14" t="s">
        <v>154</v>
      </c>
      <c r="G19" s="15">
        <v>0</v>
      </c>
      <c r="H19" s="13"/>
      <c r="J19" s="12"/>
      <c r="K19" s="29" t="s">
        <v>89</v>
      </c>
      <c r="L19" s="83">
        <f>SUM(L13:L18)</f>
        <v>20000</v>
      </c>
      <c r="M19" s="13"/>
    </row>
    <row r="20" spans="5:13" ht="15.75" customHeight="1" x14ac:dyDescent="0.3">
      <c r="E20" s="12"/>
      <c r="F20" s="14" t="s">
        <v>155</v>
      </c>
      <c r="G20" s="15">
        <v>0</v>
      </c>
      <c r="H20" s="13"/>
      <c r="J20" s="12"/>
      <c r="K20" s="31"/>
      <c r="L20" s="31"/>
      <c r="M20" s="13"/>
    </row>
    <row r="21" spans="5:13" ht="15.75" customHeight="1" x14ac:dyDescent="0.3">
      <c r="E21" s="12"/>
      <c r="F21" s="14" t="s">
        <v>104</v>
      </c>
      <c r="G21" s="15">
        <v>0</v>
      </c>
      <c r="H21" s="13"/>
      <c r="J21" s="12"/>
      <c r="K21" s="181" t="s">
        <v>105</v>
      </c>
      <c r="L21" s="177"/>
      <c r="M21" s="13"/>
    </row>
    <row r="22" spans="5:13" ht="15.75" customHeight="1" x14ac:dyDescent="0.3">
      <c r="E22" s="12"/>
      <c r="F22" s="14" t="s">
        <v>156</v>
      </c>
      <c r="G22" s="15">
        <v>0</v>
      </c>
      <c r="H22" s="13"/>
      <c r="J22" s="12"/>
      <c r="K22" s="17" t="s">
        <v>107</v>
      </c>
      <c r="L22" s="18" t="e">
        <f>PERP_Euros_0</f>
        <v>#REF!</v>
      </c>
      <c r="M22" s="13"/>
    </row>
    <row r="23" spans="5:13" ht="15.75" customHeight="1" x14ac:dyDescent="0.3">
      <c r="E23" s="12"/>
      <c r="F23" s="14" t="s">
        <v>157</v>
      </c>
      <c r="G23" s="15">
        <v>6000</v>
      </c>
      <c r="H23" s="13"/>
      <c r="J23" s="12"/>
      <c r="K23" s="14" t="s">
        <v>108</v>
      </c>
      <c r="L23" s="15" t="e">
        <f>PERP_UC_0</f>
        <v>#REF!</v>
      </c>
      <c r="M23" s="13"/>
    </row>
    <row r="24" spans="5:13" ht="15.75" customHeight="1" x14ac:dyDescent="0.3">
      <c r="E24" s="12"/>
      <c r="F24" s="29" t="s">
        <v>89</v>
      </c>
      <c r="G24" s="83">
        <f>SUM(G16:G23)</f>
        <v>26000</v>
      </c>
      <c r="H24" s="13"/>
      <c r="J24" s="12"/>
      <c r="K24" s="14" t="s">
        <v>41</v>
      </c>
      <c r="L24" s="15">
        <f>PERCO_0</f>
        <v>0</v>
      </c>
      <c r="M24" s="13"/>
    </row>
    <row r="25" spans="5:13" ht="15.75" customHeight="1" x14ac:dyDescent="0.3">
      <c r="E25" s="12"/>
      <c r="F25" s="31"/>
      <c r="G25" s="31"/>
      <c r="H25" s="13"/>
      <c r="J25" s="12"/>
      <c r="K25" s="14" t="s">
        <v>46</v>
      </c>
      <c r="L25" s="15" t="e">
        <f>SCPI_0+G22</f>
        <v>#REF!</v>
      </c>
      <c r="M25" s="13"/>
    </row>
    <row r="26" spans="5:13" ht="15.75" customHeight="1" x14ac:dyDescent="0.3">
      <c r="E26" s="12"/>
      <c r="F26" s="179" t="s">
        <v>101</v>
      </c>
      <c r="G26" s="180"/>
      <c r="H26" s="13"/>
      <c r="J26" s="12"/>
      <c r="K26" s="14" t="s">
        <v>67</v>
      </c>
      <c r="L26" s="15" t="e">
        <f>Valeur_RP-#REF!</f>
        <v>#REF!</v>
      </c>
      <c r="M26" s="13"/>
    </row>
    <row r="27" spans="5:13" ht="15.75" customHeight="1" x14ac:dyDescent="0.3">
      <c r="E27" s="12"/>
      <c r="F27" s="17" t="s">
        <v>103</v>
      </c>
      <c r="G27" s="18">
        <v>300</v>
      </c>
      <c r="H27" s="13"/>
      <c r="J27" s="12"/>
      <c r="K27" s="22" t="s">
        <v>158</v>
      </c>
      <c r="L27" s="23" t="e">
        <f>Valeur_IL-#REF!</f>
        <v>#REF!</v>
      </c>
      <c r="M27" s="13"/>
    </row>
    <row r="28" spans="5:13" ht="15.75" customHeight="1" x14ac:dyDescent="0.3">
      <c r="E28" s="12"/>
      <c r="F28" s="14" t="s">
        <v>34</v>
      </c>
      <c r="G28" s="15">
        <v>50</v>
      </c>
      <c r="H28" s="13"/>
      <c r="J28" s="12"/>
      <c r="K28" s="29" t="s">
        <v>89</v>
      </c>
      <c r="L28" s="83" t="e">
        <f>SUM(L22:L27)</f>
        <v>#REF!</v>
      </c>
      <c r="M28" s="13"/>
    </row>
    <row r="29" spans="5:13" ht="15.75" customHeight="1" x14ac:dyDescent="0.3">
      <c r="E29" s="12"/>
      <c r="F29" s="14" t="s">
        <v>159</v>
      </c>
      <c r="G29" s="15">
        <v>300</v>
      </c>
      <c r="H29" s="13"/>
      <c r="J29" s="12"/>
      <c r="K29" s="31"/>
      <c r="L29" s="31"/>
      <c r="M29" s="13"/>
    </row>
    <row r="30" spans="5:13" ht="15.75" customHeight="1" x14ac:dyDescent="0.3">
      <c r="E30" s="12"/>
      <c r="F30" s="22" t="s">
        <v>21</v>
      </c>
      <c r="G30" s="23">
        <f>Budget_Théorique-SUM(G27:G29)</f>
        <v>-650</v>
      </c>
      <c r="H30" s="13"/>
      <c r="J30" s="12"/>
      <c r="K30" s="194" t="s">
        <v>95</v>
      </c>
      <c r="L30" s="177"/>
      <c r="M30" s="13"/>
    </row>
    <row r="31" spans="5:13" ht="15.75" customHeight="1" x14ac:dyDescent="0.3">
      <c r="E31" s="12"/>
      <c r="F31" s="29" t="s">
        <v>89</v>
      </c>
      <c r="G31" s="83">
        <f>SUM(G27:G30)</f>
        <v>0</v>
      </c>
      <c r="H31" s="13"/>
      <c r="J31" s="12"/>
      <c r="K31" s="183" t="e">
        <f>L28+L19+L10</f>
        <v>#REF!</v>
      </c>
      <c r="L31" s="177"/>
      <c r="M31" s="13"/>
    </row>
    <row r="32" spans="5:13" ht="15.75" customHeight="1" x14ac:dyDescent="0.3">
      <c r="E32" s="12"/>
      <c r="F32" s="31"/>
      <c r="G32" s="31"/>
      <c r="H32" s="13"/>
      <c r="J32" s="12"/>
      <c r="K32" s="31"/>
      <c r="L32" s="31"/>
      <c r="M32" s="13"/>
    </row>
    <row r="33" spans="2:17" ht="15.75" customHeight="1" x14ac:dyDescent="0.3">
      <c r="E33" s="44"/>
      <c r="F33" s="45"/>
      <c r="G33" s="45"/>
      <c r="H33" s="46"/>
      <c r="J33" s="44"/>
      <c r="K33" s="45"/>
      <c r="L33" s="45"/>
      <c r="M33" s="46"/>
    </row>
    <row r="34" spans="2:17" ht="15.75" customHeight="1" x14ac:dyDescent="0.3"/>
    <row r="35" spans="2:17" ht="15.75" customHeight="1" x14ac:dyDescent="0.3"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6"/>
    </row>
    <row r="36" spans="2:17" ht="15.75" customHeight="1" x14ac:dyDescent="0.3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87"/>
    </row>
    <row r="37" spans="2:17" ht="15.75" customHeight="1" x14ac:dyDescent="0.3"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87"/>
    </row>
    <row r="38" spans="2:17" ht="15.75" customHeight="1" x14ac:dyDescent="0.3"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87"/>
    </row>
    <row r="39" spans="2:17" ht="15.75" customHeight="1" x14ac:dyDescent="0.3"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87"/>
    </row>
    <row r="40" spans="2:17" ht="15.75" customHeight="1" x14ac:dyDescent="0.3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87"/>
    </row>
    <row r="41" spans="2:17" ht="15.75" customHeight="1" x14ac:dyDescent="0.3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87"/>
    </row>
    <row r="42" spans="2:17" ht="15.75" customHeight="1" x14ac:dyDescent="0.3"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87"/>
    </row>
    <row r="43" spans="2:17" ht="15.75" customHeight="1" x14ac:dyDescent="0.3"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87"/>
    </row>
    <row r="44" spans="2:17" ht="15.75" customHeight="1" x14ac:dyDescent="0.3"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87"/>
    </row>
    <row r="45" spans="2:17" ht="15.75" customHeight="1" x14ac:dyDescent="0.3"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87"/>
    </row>
    <row r="46" spans="2:17" ht="15.75" customHeight="1" x14ac:dyDescent="0.3"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87"/>
    </row>
    <row r="47" spans="2:17" ht="15.75" customHeight="1" x14ac:dyDescent="0.3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87"/>
    </row>
    <row r="48" spans="2:17" ht="15.75" customHeight="1" x14ac:dyDescent="0.3"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87"/>
    </row>
    <row r="49" spans="2:17" ht="15.75" customHeight="1" x14ac:dyDescent="0.3"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87"/>
    </row>
    <row r="50" spans="2:17" ht="15.75" customHeight="1" x14ac:dyDescent="0.3"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87"/>
    </row>
    <row r="51" spans="2:17" ht="15.75" customHeight="1" x14ac:dyDescent="0.3"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87"/>
    </row>
    <row r="52" spans="2:17" ht="15.75" customHeight="1" x14ac:dyDescent="0.3"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87"/>
    </row>
    <row r="53" spans="2:17" ht="15.75" customHeight="1" x14ac:dyDescent="0.3"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87"/>
    </row>
    <row r="54" spans="2:17" ht="15.75" customHeight="1" x14ac:dyDescent="0.3"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87"/>
    </row>
    <row r="55" spans="2:17" ht="15.75" customHeight="1" x14ac:dyDescent="0.3"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87"/>
    </row>
    <row r="56" spans="2:17" ht="15.75" customHeight="1" x14ac:dyDescent="0.3"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87"/>
    </row>
    <row r="57" spans="2:17" ht="15.75" customHeight="1" x14ac:dyDescent="0.3"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87"/>
    </row>
    <row r="58" spans="2:17" ht="15.75" customHeight="1" x14ac:dyDescent="0.3"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87"/>
    </row>
    <row r="59" spans="2:17" ht="15.75" customHeight="1" x14ac:dyDescent="0.3"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87"/>
    </row>
    <row r="60" spans="2:17" ht="15.75" customHeight="1" x14ac:dyDescent="0.3"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87"/>
    </row>
    <row r="61" spans="2:17" ht="15.75" customHeight="1" x14ac:dyDescent="0.3"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87"/>
    </row>
    <row r="62" spans="2:17" ht="15.75" customHeight="1" x14ac:dyDescent="0.3"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87"/>
    </row>
    <row r="63" spans="2:17" ht="15.75" customHeight="1" x14ac:dyDescent="0.3">
      <c r="B63" s="88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87"/>
    </row>
    <row r="64" spans="2:17" ht="15.75" customHeight="1" x14ac:dyDescent="0.3">
      <c r="B64" s="88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87"/>
    </row>
    <row r="65" spans="2:17" ht="15.75" customHeight="1" x14ac:dyDescent="0.3">
      <c r="B65" s="88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87"/>
    </row>
    <row r="66" spans="2:17" ht="15.75" customHeight="1" x14ac:dyDescent="0.3">
      <c r="B66" s="88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87"/>
    </row>
    <row r="67" spans="2:17" ht="15.75" customHeight="1" x14ac:dyDescent="0.3">
      <c r="B67" s="88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87"/>
    </row>
    <row r="68" spans="2:17" ht="15.75" customHeight="1" x14ac:dyDescent="0.3">
      <c r="B68" s="88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87"/>
    </row>
    <row r="69" spans="2:17" ht="15.75" customHeight="1" x14ac:dyDescent="0.3">
      <c r="B69" s="88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87"/>
    </row>
    <row r="70" spans="2:17" ht="15.75" customHeight="1" x14ac:dyDescent="0.3">
      <c r="B70" s="88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87"/>
    </row>
    <row r="71" spans="2:17" ht="15.75" customHeight="1" x14ac:dyDescent="0.3">
      <c r="B71" s="88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87"/>
    </row>
    <row r="72" spans="2:17" ht="15.75" customHeight="1" x14ac:dyDescent="0.3">
      <c r="B72" s="88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87"/>
    </row>
    <row r="73" spans="2:17" ht="15.75" customHeight="1" x14ac:dyDescent="0.3">
      <c r="B73" s="88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87"/>
    </row>
    <row r="74" spans="2:17" ht="15.75" customHeight="1" x14ac:dyDescent="0.3">
      <c r="B74" s="89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1"/>
    </row>
    <row r="75" spans="2:17" ht="15.75" customHeight="1" x14ac:dyDescent="0.3"/>
    <row r="76" spans="2:17" ht="15.75" customHeight="1" x14ac:dyDescent="0.3"/>
    <row r="77" spans="2:17" ht="15.75" customHeight="1" x14ac:dyDescent="0.3">
      <c r="K77" s="63" t="s">
        <v>119</v>
      </c>
      <c r="L77" s="64">
        <f>L10</f>
        <v>30000</v>
      </c>
    </row>
    <row r="78" spans="2:17" ht="15.75" customHeight="1" x14ac:dyDescent="0.3">
      <c r="B78" s="63" t="s">
        <v>112</v>
      </c>
      <c r="C78" s="64">
        <f>L10</f>
        <v>30000</v>
      </c>
      <c r="K78" s="65" t="s">
        <v>120</v>
      </c>
      <c r="L78" s="66">
        <f>L19</f>
        <v>20000</v>
      </c>
    </row>
    <row r="79" spans="2:17" ht="15.75" customHeight="1" x14ac:dyDescent="0.3">
      <c r="B79" s="65" t="s">
        <v>113</v>
      </c>
      <c r="C79" s="66">
        <f>L13</f>
        <v>0</v>
      </c>
      <c r="K79" s="67" t="s">
        <v>122</v>
      </c>
      <c r="L79" s="68" t="e">
        <f>L28</f>
        <v>#REF!</v>
      </c>
    </row>
    <row r="80" spans="2:17" ht="15.75" customHeight="1" x14ac:dyDescent="0.3">
      <c r="B80" s="65" t="s">
        <v>121</v>
      </c>
      <c r="C80" s="66">
        <f>SUM(L14:L16)</f>
        <v>20000</v>
      </c>
      <c r="K80" s="69"/>
      <c r="L80" s="70"/>
    </row>
    <row r="81" spans="2:12" ht="15.75" customHeight="1" x14ac:dyDescent="0.3">
      <c r="B81" s="65" t="s">
        <v>123</v>
      </c>
      <c r="C81" s="66">
        <f>L18</f>
        <v>0</v>
      </c>
      <c r="K81" s="63" t="s">
        <v>125</v>
      </c>
      <c r="L81" s="64" t="e">
        <f>L10+L13+L14+L22</f>
        <v>#REF!</v>
      </c>
    </row>
    <row r="82" spans="2:12" ht="15.75" customHeight="1" x14ac:dyDescent="0.3">
      <c r="B82" s="65" t="s">
        <v>124</v>
      </c>
      <c r="C82" s="66">
        <f>L17</f>
        <v>0</v>
      </c>
      <c r="K82" s="65" t="s">
        <v>127</v>
      </c>
      <c r="L82" s="66" t="e">
        <f>SUM(L15:L18)+L23+L24</f>
        <v>#REF!</v>
      </c>
    </row>
    <row r="83" spans="2:12" ht="15.75" customHeight="1" x14ac:dyDescent="0.3">
      <c r="B83" s="65" t="s">
        <v>126</v>
      </c>
      <c r="C83" s="66" t="e">
        <f>L22+L23</f>
        <v>#REF!</v>
      </c>
      <c r="K83" s="65" t="s">
        <v>80</v>
      </c>
      <c r="L83" s="66" t="e">
        <f>L26+L27</f>
        <v>#REF!</v>
      </c>
    </row>
    <row r="84" spans="2:12" ht="15.75" customHeight="1" x14ac:dyDescent="0.3">
      <c r="B84" s="65" t="s">
        <v>116</v>
      </c>
      <c r="C84" s="66">
        <f t="shared" ref="C84:C85" si="0">L24</f>
        <v>0</v>
      </c>
      <c r="K84" s="67" t="s">
        <v>46</v>
      </c>
      <c r="L84" s="68" t="e">
        <f>+L25</f>
        <v>#REF!</v>
      </c>
    </row>
    <row r="85" spans="2:12" ht="15.75" customHeight="1" x14ac:dyDescent="0.3">
      <c r="B85" s="65" t="s">
        <v>128</v>
      </c>
      <c r="C85" s="66" t="e">
        <f t="shared" si="0"/>
        <v>#REF!</v>
      </c>
    </row>
    <row r="86" spans="2:12" ht="15.75" customHeight="1" x14ac:dyDescent="0.3">
      <c r="B86" s="67" t="s">
        <v>129</v>
      </c>
      <c r="C86" s="68" t="e">
        <f>L26+L27</f>
        <v>#REF!</v>
      </c>
    </row>
    <row r="87" spans="2:12" ht="15.75" customHeight="1" x14ac:dyDescent="0.3"/>
    <row r="88" spans="2:12" ht="15.75" customHeight="1" x14ac:dyDescent="0.3"/>
    <row r="89" spans="2:12" ht="15.75" customHeight="1" x14ac:dyDescent="0.3"/>
    <row r="90" spans="2:12" ht="15.75" customHeight="1" x14ac:dyDescent="0.3"/>
    <row r="91" spans="2:12" ht="15.75" customHeight="1" x14ac:dyDescent="0.3"/>
    <row r="92" spans="2:12" ht="15.75" customHeight="1" x14ac:dyDescent="0.3"/>
    <row r="93" spans="2:12" ht="15.75" customHeight="1" x14ac:dyDescent="0.3"/>
    <row r="94" spans="2:12" ht="15.75" customHeight="1" x14ac:dyDescent="0.3"/>
    <row r="95" spans="2:12" ht="15.75" customHeight="1" x14ac:dyDescent="0.3"/>
    <row r="96" spans="2:12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K31:L31"/>
    <mergeCell ref="B2:C2"/>
    <mergeCell ref="E2:H2"/>
    <mergeCell ref="J2:M2"/>
    <mergeCell ref="F4:G4"/>
    <mergeCell ref="K4:L4"/>
    <mergeCell ref="F5:G5"/>
    <mergeCell ref="K12:L12"/>
    <mergeCell ref="F7:G7"/>
    <mergeCell ref="F15:G15"/>
    <mergeCell ref="K21:L21"/>
    <mergeCell ref="F26:G26"/>
    <mergeCell ref="K30:L30"/>
  </mergeCells>
  <conditionalFormatting sqref="Q4:Q7">
    <cfRule type="containsText" dxfId="1" priority="1" operator="containsText" text="FAUX">
      <formula>NOT(ISERROR(SEARCH(("FAUX"),(Q4))))</formula>
    </cfRule>
    <cfRule type="containsText" dxfId="0" priority="2" operator="containsText" text="VRAI">
      <formula>NOT(ISERROR(SEARCH(("VRAI"),(Q4))))</formula>
    </cfRule>
  </conditionalFormatting>
  <pageMargins left="0.7" right="0.7" top="0.75" bottom="0.75" header="0" footer="0"/>
  <pageSetup paperSize="9" orientation="portrait"/>
  <headerFooter>
    <oddFooter>&amp;L_x000D_&amp;1#&amp;"Aptos"&amp;10&amp;K008000 Confidential -C2- Internal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20</vt:i4>
      </vt:variant>
    </vt:vector>
  </HeadingPairs>
  <TitlesOfParts>
    <vt:vector size="24" baseType="lpstr">
      <vt:lpstr>Plan de charge</vt:lpstr>
      <vt:lpstr>Patrimoine</vt:lpstr>
      <vt:lpstr>Feuil1</vt:lpstr>
      <vt:lpstr>Solution Patrimoniale</vt:lpstr>
      <vt:lpstr>Ass_Vie_Euros_0</vt:lpstr>
      <vt:lpstr>Ass_Vie_UC_0</vt:lpstr>
      <vt:lpstr>Budget_Théorique</vt:lpstr>
      <vt:lpstr>CC_0</vt:lpstr>
      <vt:lpstr>CEL_0</vt:lpstr>
      <vt:lpstr>Epargne_Precaution</vt:lpstr>
      <vt:lpstr>LA_0</vt:lpstr>
      <vt:lpstr>LDD_0</vt:lpstr>
      <vt:lpstr>LJ_0</vt:lpstr>
      <vt:lpstr>Montant_Investir</vt:lpstr>
      <vt:lpstr>Patrimoine_Total</vt:lpstr>
      <vt:lpstr>PEA_0</vt:lpstr>
      <vt:lpstr>PEE_0</vt:lpstr>
      <vt:lpstr>PEL_0</vt:lpstr>
      <vt:lpstr>PERCO_0</vt:lpstr>
      <vt:lpstr>PERP_Euros_0</vt:lpstr>
      <vt:lpstr>PERP_UC_0</vt:lpstr>
      <vt:lpstr>SCPI_0</vt:lpstr>
      <vt:lpstr>Valeur_IL</vt:lpstr>
      <vt:lpstr>Valeur_RP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RIEDINGER Sebastien</dc:creator>
  <cp:lastModifiedBy>GUILBERT, Guillaume (ext)</cp:lastModifiedBy>
  <dcterms:created xsi:type="dcterms:W3CDTF">2018-01-09T22:04:28Z</dcterms:created>
  <dcterms:modified xsi:type="dcterms:W3CDTF">2026-07-19T09:02:10Z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af384-74fa-4222-b636-fc8f834be956_Enabled">
    <vt:lpwstr>true</vt:lpwstr>
  </property>
  <property fmtid="{D5CDD505-2E9C-101B-9397-08002B2CF9AE}" pid="3" name="MSIP_Label_c26af384-74fa-4222-b636-fc8f834be956_SetDate">
    <vt:lpwstr>2026-01-26T11:22:24Z</vt:lpwstr>
  </property>
  <property fmtid="{D5CDD505-2E9C-101B-9397-08002B2CF9AE}" pid="4" name="MSIP_Label_c26af384-74fa-4222-b636-fc8f834be956_Method">
    <vt:lpwstr>Standard</vt:lpwstr>
  </property>
  <property fmtid="{D5CDD505-2E9C-101B-9397-08002B2CF9AE}" pid="5" name="MSIP_Label_c26af384-74fa-4222-b636-fc8f834be956_Name">
    <vt:lpwstr>C2 - Confidential – Internal distribution</vt:lpwstr>
  </property>
  <property fmtid="{D5CDD505-2E9C-101B-9397-08002B2CF9AE}" pid="6" name="MSIP_Label_c26af384-74fa-4222-b636-fc8f834be956_SiteId">
    <vt:lpwstr>2696ce3d-b7da-4bf4-8f6d-b4df854adfcd</vt:lpwstr>
  </property>
  <property fmtid="{D5CDD505-2E9C-101B-9397-08002B2CF9AE}" pid="7" name="MSIP_Label_c26af384-74fa-4222-b636-fc8f834be956_ActionId">
    <vt:lpwstr>c7134ec3-212c-4017-99c1-10848d66bdb9</vt:lpwstr>
  </property>
  <property fmtid="{D5CDD505-2E9C-101B-9397-08002B2CF9AE}" pid="8" name="MSIP_Label_c26af384-74fa-4222-b636-fc8f834be956_ContentBits">
    <vt:lpwstr>2</vt:lpwstr>
  </property>
  <property fmtid="{D5CDD505-2E9C-101B-9397-08002B2CF9AE}" pid="9" name="MSIP_Label_c26af384-74fa-4222-b636-fc8f834be956_Tag">
    <vt:lpwstr>10, 3, 0, 1</vt:lpwstr>
  </property>
</Properties>
</file>