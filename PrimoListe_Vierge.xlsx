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5041946-my.sharepoint.com/personal/guillaume_guilbert_ext_plasticomnium_com/Documents/Documents/000-Perso/Conseil patrimoine/"/>
    </mc:Choice>
  </mc:AlternateContent>
  <xr:revisionPtr revIDLastSave="52" documentId="8_{4E0D7F57-7FFC-4244-A2C0-F6E93DB9E6FE}" xr6:coauthVersionLast="47" xr6:coauthVersionMax="47" xr10:uidLastSave="{FD26D4A5-4050-41DC-84F7-891A323A5010}"/>
  <bookViews>
    <workbookView xWindow="-108" yWindow="-108" windowWidth="23256" windowHeight="14016" tabRatio="867" xr2:uid="{D051CF1B-84EC-4FD2-8634-DA21B7E90DD0}"/>
  </bookViews>
  <sheets>
    <sheet name="ListeNoms" sheetId="1" r:id="rId1"/>
    <sheet name="RoadMap2026" sheetId="3" r:id="rId2"/>
    <sheet name="Production_2025" sheetId="6" r:id="rId3"/>
    <sheet name="Développement" sheetId="7" r:id="rId4"/>
    <sheet name="SuiviFilleuls" sheetId="10" r:id="rId5"/>
    <sheet name="Plan de carrière" sheetId="8" r:id="rId6"/>
    <sheet name="Plan d'action" sheetId="9" r:id="rId7"/>
    <sheet name="ListeChoixNoms" sheetId="2" r:id="rId8"/>
    <sheet name="ListeRoadMap" sheetId="4" r:id="rId9"/>
  </sheets>
  <definedNames>
    <definedName name="ListeNomsUniques">_xlfn.UNIQUE(ListeNoms!$A$2:$A$120)</definedName>
    <definedName name="_xlnm.Print_Area" localSheetId="3">Développement!$A$1:$K$29</definedName>
    <definedName name="_xlnm.Print_Area" localSheetId="5">'Plan de carrière'!$A$1:$P$48</definedName>
    <definedName name="_xlnm.Print_Area" localSheetId="2">Production_2025!$A$1:$M$33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0" l="1"/>
  <c r="I1" i="10"/>
  <c r="G1" i="10"/>
  <c r="E1" i="10"/>
  <c r="C1" i="10"/>
  <c r="M5" i="6"/>
  <c r="D5" i="6"/>
  <c r="L7" i="6"/>
  <c r="K9" i="6"/>
  <c r="K7" i="6"/>
  <c r="M8" i="6"/>
  <c r="L10" i="6"/>
  <c r="L9" i="6" s="1"/>
  <c r="B12" i="8"/>
  <c r="C17" i="8" s="1"/>
  <c r="B10" i="8"/>
  <c r="B14" i="8" s="1"/>
  <c r="G3" i="9"/>
  <c r="G2" i="9"/>
  <c r="G5" i="9" s="1"/>
  <c r="F17" i="8"/>
  <c r="E17" i="8"/>
  <c r="D17" i="8"/>
  <c r="F14" i="8"/>
  <c r="E14" i="8"/>
  <c r="D14" i="8"/>
  <c r="C14" i="8"/>
  <c r="E29" i="7"/>
  <c r="J5" i="7" s="1"/>
  <c r="D29" i="7"/>
  <c r="J4" i="7" s="1"/>
  <c r="C29" i="7"/>
  <c r="J3" i="7" s="1"/>
  <c r="I14" i="7"/>
  <c r="I2" i="7"/>
  <c r="I17" i="7" s="1"/>
  <c r="E5" i="6"/>
  <c r="L4" i="6" s="1"/>
  <c r="C5" i="6"/>
  <c r="L3" i="6" s="1"/>
  <c r="K2" i="6"/>
  <c r="J8" i="6" s="1"/>
  <c r="H5" i="6" l="1"/>
  <c r="L5" i="6" s="1"/>
  <c r="L2" i="6"/>
  <c r="J10" i="6" s="1"/>
  <c r="M10" i="6" s="1"/>
  <c r="M3" i="6"/>
  <c r="J2" i="7"/>
  <c r="B17" i="8"/>
  <c r="B11" i="8"/>
  <c r="C16" i="8" s="1"/>
  <c r="C11" i="8"/>
  <c r="D11" i="8" s="1"/>
  <c r="E11" i="8" s="1"/>
  <c r="J13" i="7"/>
  <c r="I13" i="7"/>
  <c r="I16" i="7"/>
  <c r="I15" i="7"/>
  <c r="E16" i="8" l="1"/>
  <c r="D16" i="8"/>
  <c r="K13" i="7"/>
  <c r="B5" i="8" s="1"/>
  <c r="B9" i="8" s="1"/>
  <c r="B15" i="8" s="1"/>
  <c r="B19" i="8" s="1"/>
  <c r="B20" i="8" s="1"/>
  <c r="J14" i="7"/>
  <c r="F11" i="8"/>
  <c r="F16" i="8"/>
  <c r="K14" i="7" l="1"/>
  <c r="C5" i="8" s="1"/>
  <c r="C9" i="8" s="1"/>
  <c r="C15" i="8" s="1"/>
  <c r="C19" i="8" s="1"/>
  <c r="C20" i="8" s="1"/>
  <c r="J15" i="7"/>
  <c r="J16" i="7" l="1"/>
  <c r="K15" i="7"/>
  <c r="D5" i="8" s="1"/>
  <c r="D9" i="8" s="1"/>
  <c r="D15" i="8" s="1"/>
  <c r="D19" i="8" s="1"/>
  <c r="D20" i="8" s="1"/>
  <c r="J17" i="7" l="1"/>
  <c r="K16" i="7"/>
  <c r="E5" i="8" s="1"/>
  <c r="E9" i="8" s="1"/>
  <c r="E15" i="8" l="1"/>
  <c r="E19" i="8" s="1"/>
  <c r="E20" i="8" s="1"/>
  <c r="E18" i="8"/>
  <c r="K17" i="7"/>
  <c r="F5" i="8" s="1"/>
  <c r="F9" i="8" s="1"/>
  <c r="F15" i="8" l="1"/>
  <c r="F19" i="8" s="1"/>
  <c r="F20" i="8" s="1"/>
  <c r="F18" i="8"/>
  <c r="I11" i="3" l="1"/>
  <c r="H11" i="3"/>
  <c r="F7" i="3"/>
  <c r="E5" i="3"/>
  <c r="E11" i="3" s="1"/>
  <c r="F5" i="3" l="1"/>
  <c r="F11" i="3" s="1"/>
</calcChain>
</file>

<file path=xl/sharedStrings.xml><?xml version="1.0" encoding="utf-8"?>
<sst xmlns="http://schemas.openxmlformats.org/spreadsheetml/2006/main" count="245" uniqueCount="203">
  <si>
    <t>Prénom</t>
  </si>
  <si>
    <t>Numéro</t>
  </si>
  <si>
    <t>Mail</t>
  </si>
  <si>
    <t>Réseau</t>
  </si>
  <si>
    <t>Intérêt</t>
  </si>
  <si>
    <t>Proximité</t>
  </si>
  <si>
    <t>Famille</t>
  </si>
  <si>
    <t>Ami</t>
  </si>
  <si>
    <t>Collègue</t>
  </si>
  <si>
    <t>Autre</t>
  </si>
  <si>
    <t>Chaud</t>
  </si>
  <si>
    <t>Tiède</t>
  </si>
  <si>
    <t>Froid</t>
  </si>
  <si>
    <t>Oui</t>
  </si>
  <si>
    <t>Non</t>
  </si>
  <si>
    <t>TBC</t>
  </si>
  <si>
    <t>Connaissance</t>
  </si>
  <si>
    <t>Intérêt Métier</t>
  </si>
  <si>
    <t>Relation</t>
  </si>
  <si>
    <t>Reprendre contact</t>
  </si>
  <si>
    <t>En contact</t>
  </si>
  <si>
    <t>Contact perdu</t>
  </si>
  <si>
    <t>R0</t>
  </si>
  <si>
    <t>R1</t>
  </si>
  <si>
    <t>R2</t>
  </si>
  <si>
    <t>R3</t>
  </si>
  <si>
    <t>Intérêt Invest</t>
  </si>
  <si>
    <t>NOM</t>
  </si>
  <si>
    <t>Catégorie</t>
  </si>
  <si>
    <t>Produit</t>
  </si>
  <si>
    <t>Action</t>
  </si>
  <si>
    <t>Quantité visées</t>
  </si>
  <si>
    <t>Montant mensuel</t>
  </si>
  <si>
    <t>Montants visés</t>
  </si>
  <si>
    <t>Quantité réalisée</t>
  </si>
  <si>
    <t>Montant mensuel réalisé</t>
  </si>
  <si>
    <t>Montants réalisés</t>
  </si>
  <si>
    <t>Immo</t>
  </si>
  <si>
    <t>Résidence principale</t>
  </si>
  <si>
    <t>Signature projet dans le stock</t>
  </si>
  <si>
    <t>De Normandie</t>
  </si>
  <si>
    <t>Assurance</t>
  </si>
  <si>
    <t>Assurance Vie</t>
  </si>
  <si>
    <t>Ouverture de nouveaux contrats</t>
  </si>
  <si>
    <t>VP</t>
  </si>
  <si>
    <t>PER</t>
  </si>
  <si>
    <t>Financier</t>
  </si>
  <si>
    <t>SCPI</t>
  </si>
  <si>
    <t>Souscription avec crédit</t>
  </si>
  <si>
    <t>FCPI</t>
  </si>
  <si>
    <t>Souscription</t>
  </si>
  <si>
    <t>Dev équipe</t>
  </si>
  <si>
    <t>Recrutement de nouveaux CGP</t>
  </si>
  <si>
    <t>Total</t>
  </si>
  <si>
    <t>Catégore</t>
  </si>
  <si>
    <t>LLI</t>
  </si>
  <si>
    <t>Résidence service neuf</t>
  </si>
  <si>
    <t>Résidence service ancien</t>
  </si>
  <si>
    <t>Contrat de capitalisation</t>
  </si>
  <si>
    <t>FPCI</t>
  </si>
  <si>
    <t>Girardin</t>
  </si>
  <si>
    <t>Nom</t>
  </si>
  <si>
    <t>R suivi</t>
  </si>
  <si>
    <t>Transformation</t>
  </si>
  <si>
    <t>Remarque</t>
  </si>
  <si>
    <t>Assiette d'investissement</t>
  </si>
  <si>
    <t>TOTAUX</t>
  </si>
  <si>
    <t>JD</t>
  </si>
  <si>
    <t>Présentation métier</t>
  </si>
  <si>
    <t>Dans l'équipe</t>
  </si>
  <si>
    <t>Webinaire</t>
  </si>
  <si>
    <t>Équation du succès Production</t>
  </si>
  <si>
    <t>Critères</t>
  </si>
  <si>
    <t>Objectif</t>
  </si>
  <si>
    <t>Réel</t>
  </si>
  <si>
    <t>VA = X  x Y x Z</t>
  </si>
  <si>
    <t>VA = Volume d'affaires</t>
  </si>
  <si>
    <t>Nouveaux clients :</t>
  </si>
  <si>
    <t>Année PMR :</t>
  </si>
  <si>
    <t>X = Nombre de R1</t>
  </si>
  <si>
    <t>Remplir les colonnes R1 et Transformation : 1 si signature ; 0 si pas de suite</t>
  </si>
  <si>
    <t>Y = Taux de transformation</t>
  </si>
  <si>
    <t>VP :</t>
  </si>
  <si>
    <t>Z = Assiette d'investissement</t>
  </si>
  <si>
    <t>VA cible</t>
  </si>
  <si>
    <t>Rémunération brute</t>
  </si>
  <si>
    <t>VA réel</t>
  </si>
  <si>
    <t>Notes pour vous aider dans vos simulations :</t>
  </si>
  <si>
    <r>
      <rPr>
        <u/>
        <sz val="11"/>
        <color theme="1"/>
        <rFont val="Calibri"/>
        <family val="2"/>
        <scheme val="minor"/>
      </rPr>
      <t>Nombre de R1 :</t>
    </r>
    <r>
      <rPr>
        <sz val="11"/>
        <color theme="1"/>
        <rFont val="Calibri"/>
        <family val="2"/>
        <scheme val="minor"/>
      </rPr>
      <t xml:space="preserve"> pour un démarrage réussi, on table sur 40 R1 la première année, soit environ 1 par semaine.</t>
    </r>
  </si>
  <si>
    <r>
      <rPr>
        <u/>
        <sz val="11"/>
        <color theme="1"/>
        <rFont val="Calibri"/>
        <family val="2"/>
        <scheme val="minor"/>
      </rPr>
      <t>Taux de transformation :</t>
    </r>
    <r>
      <rPr>
        <sz val="11"/>
        <color theme="1"/>
        <rFont val="Calibri"/>
        <family val="2"/>
        <scheme val="minor"/>
      </rPr>
      <t xml:space="preserve"> 50% pour un débutant seul.</t>
    </r>
  </si>
  <si>
    <t>Si vous êtes accompagné d'un Manager Upline, le taux monte pour se rapprocher de 90%</t>
  </si>
  <si>
    <r>
      <rPr>
        <u/>
        <sz val="11"/>
        <color theme="1"/>
        <rFont val="Calibri"/>
        <family val="2"/>
        <scheme val="minor"/>
      </rPr>
      <t>Assiette d'investissement :</t>
    </r>
    <r>
      <rPr>
        <sz val="11"/>
        <color theme="1"/>
        <rFont val="Calibri"/>
        <family val="2"/>
        <scheme val="minor"/>
      </rPr>
      <t xml:space="preserve"> environ 15 000€ par investisseur pour un débutant</t>
    </r>
  </si>
  <si>
    <t>Rappel des points valeurs sur les investissements :</t>
  </si>
  <si>
    <t>Assurance vie / PER / contrats de capitalisation : 0,4 (à 4,80% de droits d'entrée)</t>
  </si>
  <si>
    <t>SCPI : 0,4 (0,5 si vous êtes CIF)</t>
  </si>
  <si>
    <t>PV moyen : 0,5</t>
  </si>
  <si>
    <t>Capital Investissement : 0,4</t>
  </si>
  <si>
    <t>Girardin : entre 0,27 et 0,3</t>
  </si>
  <si>
    <t>Immo : entre 0,3 et 0,8</t>
  </si>
  <si>
    <t>Prévoyance : 1,2</t>
  </si>
  <si>
    <t>Taux Personnel de Commission :</t>
  </si>
  <si>
    <t>Consultant Junior : 3%</t>
  </si>
  <si>
    <t>Consultant habilité : 5%</t>
  </si>
  <si>
    <t>Manager : 6%</t>
  </si>
  <si>
    <t>Manager Planète : 6,5%</t>
  </si>
  <si>
    <t>Manager Étoile : 7%</t>
  </si>
  <si>
    <t>Major (&gt; 1 million d'€ de VA : 7%)</t>
  </si>
  <si>
    <t>Manager Constellation : 7,5%</t>
  </si>
  <si>
    <t>Manager Galaxie : 8%</t>
  </si>
  <si>
    <t>Expert (&gt; 1,5 million d'€ de VA : 8%)</t>
  </si>
  <si>
    <t>Équation du succès Développement</t>
  </si>
  <si>
    <t>S' = X'  x Y' x Z'</t>
  </si>
  <si>
    <t>S' = Filleul lancé</t>
  </si>
  <si>
    <t>X' = Nombre POA</t>
  </si>
  <si>
    <r>
      <t xml:space="preserve">Remplir les colonnes POA , Convention et 1er contrat : </t>
    </r>
    <r>
      <rPr>
        <sz val="11"/>
        <color theme="1"/>
        <rFont val="Calibri"/>
        <family val="2"/>
        <scheme val="minor"/>
      </rPr>
      <t>1 ou 0</t>
    </r>
  </si>
  <si>
    <t>Y' = Taux conventions</t>
  </si>
  <si>
    <t>POA</t>
  </si>
  <si>
    <t>Convention</t>
  </si>
  <si>
    <t>1er contrat</t>
  </si>
  <si>
    <t>Z' = Taux de premier contrat</t>
  </si>
  <si>
    <r>
      <rPr>
        <u/>
        <sz val="11"/>
        <color theme="1"/>
        <rFont val="Calibri"/>
        <family val="2"/>
        <scheme val="minor"/>
      </rPr>
      <t>Statistique réseau :</t>
    </r>
    <r>
      <rPr>
        <sz val="11"/>
        <color theme="1"/>
        <rFont val="Calibri"/>
        <family val="2"/>
        <scheme val="minor"/>
      </rPr>
      <t xml:space="preserve"> 1 parrainage tous les 18 mois</t>
    </r>
  </si>
  <si>
    <r>
      <rPr>
        <u/>
        <sz val="11"/>
        <color theme="1"/>
        <rFont val="Calibri"/>
        <family val="2"/>
        <scheme val="minor"/>
      </rPr>
      <t>Objectif pour une duplication éfficace :</t>
    </r>
    <r>
      <rPr>
        <sz val="11"/>
        <color theme="1"/>
        <rFont val="Calibri"/>
        <family val="2"/>
        <scheme val="minor"/>
      </rPr>
      <t xml:space="preserve"> 2 parrainages (filleuls lancés) par an à titre perso + 2 parrainages par an par membres de l'équipe</t>
    </r>
  </si>
  <si>
    <t>Projections :</t>
  </si>
  <si>
    <t>Parrainages perso</t>
  </si>
  <si>
    <t>Directs</t>
  </si>
  <si>
    <t>Total équipe</t>
  </si>
  <si>
    <t xml:space="preserve">Année 1 : </t>
  </si>
  <si>
    <t>Année 2 :</t>
  </si>
  <si>
    <t>Année 3 :</t>
  </si>
  <si>
    <t>Année 4 :</t>
  </si>
  <si>
    <t>Année 5 :</t>
  </si>
  <si>
    <t>Projections financières :</t>
  </si>
  <si>
    <t>2 000€ brut/an par filleul€ en direct</t>
  </si>
  <si>
    <t>1 000€ brut/an par autre membre de l'équipe</t>
  </si>
  <si>
    <t>(Données volontairement approximatives)</t>
  </si>
  <si>
    <t>Nom / Prénom :</t>
  </si>
  <si>
    <t>Projections indicatives!</t>
  </si>
  <si>
    <t>Date :</t>
  </si>
  <si>
    <t>Plan de développement et de rémunération à 5 ans</t>
  </si>
  <si>
    <t>Année PMR</t>
  </si>
  <si>
    <t>Équipe active</t>
  </si>
  <si>
    <t>Titre</t>
  </si>
  <si>
    <t>Senior</t>
  </si>
  <si>
    <t>Major</t>
  </si>
  <si>
    <t>Expert</t>
  </si>
  <si>
    <t>Cases à remplir manuellement</t>
  </si>
  <si>
    <t>Qualification</t>
  </si>
  <si>
    <t>Manager</t>
  </si>
  <si>
    <t>Planète</t>
  </si>
  <si>
    <t>Etoile</t>
  </si>
  <si>
    <t>Galaxie</t>
  </si>
  <si>
    <t>TPC</t>
  </si>
  <si>
    <t>TPC à remplir manuellement</t>
  </si>
  <si>
    <t>VA 4 niveaux (dont perso)</t>
  </si>
  <si>
    <t>/!\ (VA moyen : 125000€ par membre de l'équipe)</t>
  </si>
  <si>
    <t>Va perso</t>
  </si>
  <si>
    <r>
      <rPr>
        <b/>
        <sz val="11"/>
        <color rgb="FFC00000"/>
        <rFont val="Calibri"/>
        <family val="2"/>
        <scheme val="minor"/>
      </rPr>
      <t>reporter manuellement</t>
    </r>
    <r>
      <rPr>
        <sz val="11"/>
        <color theme="1"/>
        <rFont val="Calibri"/>
        <family val="2"/>
        <scheme val="minor"/>
      </rPr>
      <t xml:space="preserve"> depuis l'onglet </t>
    </r>
    <r>
      <rPr>
        <b/>
        <sz val="11"/>
        <color theme="1"/>
        <rFont val="Calibri"/>
        <family val="2"/>
        <scheme val="minor"/>
      </rPr>
      <t>Production</t>
    </r>
    <r>
      <rPr>
        <sz val="11"/>
        <color theme="1"/>
        <rFont val="Calibri"/>
        <family val="2"/>
        <scheme val="minor"/>
      </rPr>
      <t>.</t>
    </r>
  </si>
  <si>
    <t>Encours AV</t>
  </si>
  <si>
    <t>/!\ calcul arbitraire avec 35% du VA de l'année fait en AV. L'encours des années précédentes s'ajoute automatiquement.</t>
  </si>
  <si>
    <r>
      <t xml:space="preserve"> * Montant des VP à </t>
    </r>
    <r>
      <rPr>
        <b/>
        <sz val="11"/>
        <color rgb="FFC00000"/>
        <rFont val="Calibri"/>
        <family val="2"/>
        <scheme val="minor"/>
      </rPr>
      <t>reporter manuellement</t>
    </r>
    <r>
      <rPr>
        <sz val="11"/>
        <color theme="1"/>
        <rFont val="Calibri"/>
        <family val="2"/>
        <scheme val="minor"/>
      </rPr>
      <t xml:space="preserve"> depuis la feuille </t>
    </r>
    <r>
      <rPr>
        <b/>
        <sz val="11"/>
        <color theme="1"/>
        <rFont val="Calibri"/>
        <family val="2"/>
        <scheme val="minor"/>
      </rPr>
      <t>Production</t>
    </r>
    <r>
      <rPr>
        <sz val="11"/>
        <color theme="1"/>
        <rFont val="Calibri"/>
        <family val="2"/>
        <scheme val="minor"/>
      </rPr>
      <t xml:space="preserve"> (calcul de 100€ moyen par nouveau client). Additionner manuellement les VP d'une année sur l'autre.</t>
    </r>
  </si>
  <si>
    <t>Rémunération brute perso</t>
  </si>
  <si>
    <t>Rémunération brute équipe</t>
  </si>
  <si>
    <t>Cases avec formules à ajuster</t>
  </si>
  <si>
    <t>com récurrence</t>
  </si>
  <si>
    <t xml:space="preserve">Récurrence : </t>
  </si>
  <si>
    <r>
      <rPr>
        <b/>
        <sz val="11"/>
        <color theme="1"/>
        <rFont val="Calibri"/>
        <family val="2"/>
        <scheme val="minor"/>
      </rPr>
      <t>Ajuster le taux</t>
    </r>
    <r>
      <rPr>
        <sz val="11"/>
        <color theme="1"/>
        <rFont val="Calibri"/>
        <family val="2"/>
        <scheme val="minor"/>
      </rPr>
      <t xml:space="preserve"> en fonction du VA total géré et de la répartition de l'encours (la récurrence est calculée sur l'encours de l'année précédente)</t>
    </r>
  </si>
  <si>
    <t>com VP annualisée</t>
  </si>
  <si>
    <t>Prime de dèv</t>
  </si>
  <si>
    <t>(voir calcul avec Manager habilité)</t>
  </si>
  <si>
    <t>Rémunération brute totale</t>
  </si>
  <si>
    <t>rem brute mensu</t>
  </si>
  <si>
    <t>Commission de récurrence sur encours</t>
  </si>
  <si>
    <t>Année PMR : 2023-2024</t>
  </si>
  <si>
    <t>Habilitation</t>
  </si>
  <si>
    <t>R0/R1</t>
  </si>
  <si>
    <t>Clients</t>
  </si>
  <si>
    <t>Filleul</t>
  </si>
  <si>
    <t>Commissions</t>
  </si>
  <si>
    <t>Immo (31/08/2023)</t>
  </si>
  <si>
    <t>MIA + Défi Pro</t>
  </si>
  <si>
    <t>Agent lié</t>
  </si>
  <si>
    <t>Dates clés!</t>
  </si>
  <si>
    <t>6-7 Octobre</t>
  </si>
  <si>
    <t>Convention Nationale</t>
  </si>
  <si>
    <t>Montpellier</t>
  </si>
  <si>
    <t>8-15 Octobre</t>
  </si>
  <si>
    <t>Défi Pro</t>
  </si>
  <si>
    <t>Castelsarrasin</t>
  </si>
  <si>
    <t>4-5-6 avril</t>
  </si>
  <si>
    <t>Mind Master</t>
  </si>
  <si>
    <t>Paris</t>
  </si>
  <si>
    <t>Convention signée</t>
  </si>
  <si>
    <t>Habilitation IOBSP</t>
  </si>
  <si>
    <t>Date examen IOBSP</t>
  </si>
  <si>
    <t>Habilitation MIA</t>
  </si>
  <si>
    <t>Date examen MIA</t>
  </si>
  <si>
    <t>Habilitation ALPSI</t>
  </si>
  <si>
    <t>Date examen ALPSI</t>
  </si>
  <si>
    <t>Habilitation CIF</t>
  </si>
  <si>
    <t>Date examen CIF</t>
  </si>
  <si>
    <t>Date signature convention</t>
  </si>
  <si>
    <t>Statut</t>
  </si>
  <si>
    <t>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</si>
</sst>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#&quot; &quot;##&quot; &quot;##&quot; &quot;##&quot; &quot;##"/>
    <numFmt numFmtId="165" formatCode="_-* #,##0\ &quot;€&quot;_-;\-* #,##0\ &quot;€&quot;_-;_-* &quot;-&quot;??\ &quot;€&quot;_-;_-@_-"/>
    <numFmt numFmtId="166" formatCode="_-* #,##0\ [$€-40C]_-;\-* #,##0\ [$€-40C]_-;_-* &quot;-&quot;??\ [$€-40C]_-;_-@_-"/>
    <numFmt numFmtId="167" formatCode="_-* #,##0\ _€_-;\-* #,##0\ _€_-;_-* &quot;-&quot;??\ _€_-;_-@_-"/>
    <numFmt numFmtId="168" formatCode="#,##0\ &quot;€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C00000"/>
      <name val="Calibri"/>
      <family val="2"/>
      <scheme val="minor"/>
    </font>
    <font>
      <b/>
      <sz val="14"/>
      <color rgb="FFC00000"/>
      <name val="Arial"/>
      <family val="2"/>
    </font>
    <font>
      <sz val="11"/>
      <color theme="1" tint="0.24997711111789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7E79"/>
        <bgColor rgb="FFFF972F"/>
      </patternFill>
    </fill>
    <fill>
      <patternFill patternType="solid">
        <fgColor rgb="FFCCCCCC"/>
        <bgColor rgb="FFCCCCFF"/>
      </patternFill>
    </fill>
    <fill>
      <patternFill patternType="solid">
        <fgColor theme="8" tint="0.59999389629810485"/>
        <bgColor rgb="FFFF7E79"/>
      </patternFill>
    </fill>
    <fill>
      <patternFill patternType="solid">
        <fgColor rgb="FF92D050"/>
        <bgColor rgb="FF666699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66669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8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1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49" fontId="2" fillId="0" borderId="0" xfId="1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Continuous" vertical="distributed"/>
    </xf>
    <xf numFmtId="165" fontId="6" fillId="2" borderId="0" xfId="2" applyNumberFormat="1" applyFont="1" applyFill="1" applyAlignment="1">
      <alignment horizontal="centerContinuous" vertical="distributed"/>
    </xf>
    <xf numFmtId="166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5" fontId="6" fillId="2" borderId="0" xfId="2" applyNumberFormat="1" applyFont="1" applyFill="1" applyAlignment="1">
      <alignment horizontal="center" vertical="center"/>
    </xf>
    <xf numFmtId="44" fontId="0" fillId="0" borderId="0" xfId="2" applyFont="1"/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65" fontId="0" fillId="0" borderId="9" xfId="2" applyNumberFormat="1" applyFont="1" applyBorder="1" applyAlignment="1">
      <alignment vertical="center"/>
    </xf>
    <xf numFmtId="165" fontId="0" fillId="0" borderId="7" xfId="2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4" borderId="10" xfId="0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1" fontId="0" fillId="0" borderId="7" xfId="0" applyNumberFormat="1" applyBorder="1" applyAlignment="1">
      <alignment vertical="center"/>
    </xf>
    <xf numFmtId="167" fontId="0" fillId="0" borderId="0" xfId="0" applyNumberFormat="1" applyAlignment="1">
      <alignment horizontal="right"/>
    </xf>
    <xf numFmtId="9" fontId="0" fillId="0" borderId="9" xfId="4" applyFont="1" applyBorder="1" applyAlignment="1">
      <alignment vertical="center"/>
    </xf>
    <xf numFmtId="9" fontId="0" fillId="0" borderId="7" xfId="4" applyFont="1" applyBorder="1" applyAlignment="1">
      <alignment vertical="center"/>
    </xf>
    <xf numFmtId="0" fontId="0" fillId="2" borderId="11" xfId="0" applyFill="1" applyBorder="1"/>
    <xf numFmtId="0" fontId="6" fillId="2" borderId="12" xfId="0" applyFont="1" applyFill="1" applyBorder="1" applyAlignment="1">
      <alignment horizontal="center" vertical="center"/>
    </xf>
    <xf numFmtId="1" fontId="0" fillId="3" borderId="12" xfId="0" applyNumberFormat="1" applyFill="1" applyBorder="1" applyAlignment="1">
      <alignment horizontal="center" vertical="center"/>
    </xf>
    <xf numFmtId="9" fontId="0" fillId="3" borderId="12" xfId="4" applyFont="1" applyFill="1" applyBorder="1" applyAlignment="1">
      <alignment horizontal="center" vertical="center"/>
    </xf>
    <xf numFmtId="165" fontId="0" fillId="3" borderId="13" xfId="2" applyNumberFormat="1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65" fontId="0" fillId="0" borderId="15" xfId="2" applyNumberFormat="1" applyFont="1" applyBorder="1" applyAlignment="1">
      <alignment vertical="center"/>
    </xf>
    <xf numFmtId="165" fontId="0" fillId="0" borderId="16" xfId="0" applyNumberFormat="1" applyBorder="1" applyAlignment="1">
      <alignment vertical="center"/>
    </xf>
    <xf numFmtId="165" fontId="0" fillId="0" borderId="0" xfId="2" applyNumberFormat="1" applyFont="1" applyAlignment="1">
      <alignment horizontal="right"/>
    </xf>
    <xf numFmtId="0" fontId="0" fillId="0" borderId="0" xfId="0" applyAlignment="1">
      <alignment horizontal="center"/>
    </xf>
    <xf numFmtId="165" fontId="0" fillId="6" borderId="1" xfId="0" applyNumberFormat="1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65" fontId="0" fillId="0" borderId="22" xfId="0" applyNumberFormat="1" applyBorder="1"/>
    <xf numFmtId="165" fontId="0" fillId="0" borderId="16" xfId="0" applyNumberFormat="1" applyBorder="1"/>
    <xf numFmtId="165" fontId="0" fillId="7" borderId="1" xfId="0" applyNumberFormat="1" applyFill="1" applyBorder="1" applyAlignment="1">
      <alignment horizontal="center" vertical="center"/>
    </xf>
    <xf numFmtId="165" fontId="0" fillId="7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0" fillId="3" borderId="29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" fontId="0" fillId="0" borderId="18" xfId="3" applyNumberFormat="1" applyFont="1" applyBorder="1" applyAlignment="1">
      <alignment horizontal="center" vertical="center"/>
    </xf>
    <xf numFmtId="1" fontId="0" fillId="4" borderId="10" xfId="0" applyNumberForma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9" fontId="0" fillId="0" borderId="18" xfId="4" applyFont="1" applyBorder="1" applyAlignment="1">
      <alignment horizontal="center" vertical="center"/>
    </xf>
    <xf numFmtId="2" fontId="0" fillId="4" borderId="10" xfId="0" applyNumberForma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9" fontId="0" fillId="0" borderId="30" xfId="4" applyFont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3" fontId="0" fillId="0" borderId="20" xfId="3" applyFon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left" vertical="center" wrapText="1"/>
    </xf>
    <xf numFmtId="0" fontId="7" fillId="0" borderId="31" xfId="0" applyFont="1" applyBorder="1"/>
    <xf numFmtId="0" fontId="7" fillId="0" borderId="32" xfId="0" applyFont="1" applyBorder="1"/>
    <xf numFmtId="0" fontId="7" fillId="0" borderId="13" xfId="0" applyFont="1" applyBorder="1"/>
    <xf numFmtId="0" fontId="0" fillId="0" borderId="33" xfId="0" applyBorder="1"/>
    <xf numFmtId="1" fontId="0" fillId="0" borderId="0" xfId="0" applyNumberFormat="1"/>
    <xf numFmtId="1" fontId="0" fillId="0" borderId="21" xfId="0" applyNumberFormat="1" applyBorder="1"/>
    <xf numFmtId="0" fontId="0" fillId="0" borderId="21" xfId="0" applyBorder="1"/>
    <xf numFmtId="0" fontId="0" fillId="0" borderId="34" xfId="0" applyBorder="1"/>
    <xf numFmtId="1" fontId="0" fillId="0" borderId="35" xfId="0" applyNumberFormat="1" applyBorder="1"/>
    <xf numFmtId="0" fontId="0" fillId="0" borderId="25" xfId="0" applyBorder="1"/>
    <xf numFmtId="0" fontId="12" fillId="9" borderId="5" xfId="0" applyFont="1" applyFill="1" applyBorder="1" applyAlignment="1">
      <alignment horizontal="left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12" fillId="11" borderId="5" xfId="0" applyFont="1" applyFill="1" applyBorder="1" applyAlignment="1">
      <alignment vertical="center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9" fontId="7" fillId="3" borderId="6" xfId="4" applyFont="1" applyFill="1" applyBorder="1" applyAlignment="1">
      <alignment horizontal="center" vertical="center"/>
    </xf>
    <xf numFmtId="9" fontId="0" fillId="3" borderId="6" xfId="0" applyNumberFormat="1" applyFill="1" applyBorder="1" applyAlignment="1">
      <alignment horizontal="center" vertical="center"/>
    </xf>
    <xf numFmtId="10" fontId="0" fillId="3" borderId="6" xfId="0" applyNumberForma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165" fontId="7" fillId="0" borderId="6" xfId="2" applyNumberFormat="1" applyFont="1" applyBorder="1" applyAlignment="1">
      <alignment horizontal="center" vertical="center"/>
    </xf>
    <xf numFmtId="165" fontId="0" fillId="0" borderId="6" xfId="2" applyNumberFormat="1" applyFont="1" applyBorder="1" applyAlignment="1">
      <alignment horizontal="center" vertical="center"/>
    </xf>
    <xf numFmtId="165" fontId="7" fillId="3" borderId="6" xfId="2" applyNumberFormat="1" applyFont="1" applyFill="1" applyBorder="1" applyAlignment="1">
      <alignment horizontal="center" vertical="center"/>
    </xf>
    <xf numFmtId="165" fontId="0" fillId="3" borderId="6" xfId="2" applyNumberFormat="1" applyFont="1" applyFill="1" applyBorder="1" applyAlignment="1">
      <alignment horizontal="center" vertical="center"/>
    </xf>
    <xf numFmtId="165" fontId="0" fillId="3" borderId="7" xfId="2" applyNumberFormat="1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vertical="center"/>
    </xf>
    <xf numFmtId="0" fontId="12" fillId="11" borderId="22" xfId="0" applyFont="1" applyFill="1" applyBorder="1" applyAlignment="1">
      <alignment vertical="center" wrapText="1"/>
    </xf>
    <xf numFmtId="165" fontId="7" fillId="12" borderId="6" xfId="2" applyNumberFormat="1" applyFont="1" applyFill="1" applyBorder="1" applyAlignment="1">
      <alignment horizontal="center" vertical="center"/>
    </xf>
    <xf numFmtId="165" fontId="0" fillId="12" borderId="6" xfId="2" applyNumberFormat="1" applyFont="1" applyFill="1" applyBorder="1" applyAlignment="1">
      <alignment horizontal="center" vertical="center"/>
    </xf>
    <xf numFmtId="165" fontId="7" fillId="13" borderId="6" xfId="2" applyNumberFormat="1" applyFont="1" applyFill="1" applyBorder="1" applyAlignment="1">
      <alignment horizontal="center" vertical="center"/>
    </xf>
    <xf numFmtId="165" fontId="0" fillId="13" borderId="6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2" fillId="11" borderId="11" xfId="0" applyFont="1" applyFill="1" applyBorder="1" applyAlignment="1">
      <alignment vertical="center" wrapText="1"/>
    </xf>
    <xf numFmtId="165" fontId="7" fillId="0" borderId="39" xfId="2" applyNumberFormat="1" applyFont="1" applyBorder="1" applyAlignment="1">
      <alignment horizontal="center" vertical="center"/>
    </xf>
    <xf numFmtId="165" fontId="0" fillId="0" borderId="39" xfId="2" applyNumberFormat="1" applyFont="1" applyBorder="1" applyAlignment="1">
      <alignment horizontal="center" vertical="center"/>
    </xf>
    <xf numFmtId="0" fontId="0" fillId="15" borderId="32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14" fontId="0" fillId="0" borderId="0" xfId="0" applyNumberFormat="1"/>
    <xf numFmtId="44" fontId="0" fillId="0" borderId="0" xfId="0" applyNumberFormat="1"/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2" borderId="23" xfId="0" applyFill="1" applyBorder="1"/>
    <xf numFmtId="0" fontId="0" fillId="2" borderId="24" xfId="0" applyFill="1" applyBorder="1"/>
    <xf numFmtId="0" fontId="0" fillId="3" borderId="24" xfId="0" applyFill="1" applyBorder="1" applyAlignment="1">
      <alignment horizontal="center" vertical="center"/>
    </xf>
    <xf numFmtId="9" fontId="0" fillId="3" borderId="24" xfId="4" applyFont="1" applyFill="1" applyBorder="1" applyAlignment="1">
      <alignment horizontal="center" vertical="center"/>
    </xf>
    <xf numFmtId="43" fontId="0" fillId="3" borderId="25" xfId="3" applyFont="1" applyFill="1" applyBorder="1" applyAlignment="1">
      <alignment horizontal="center" vertical="center"/>
    </xf>
    <xf numFmtId="0" fontId="15" fillId="2" borderId="12" xfId="0" applyFont="1" applyFill="1" applyBorder="1"/>
    <xf numFmtId="9" fontId="15" fillId="2" borderId="12" xfId="4" applyFont="1" applyFill="1" applyBorder="1"/>
    <xf numFmtId="9" fontId="15" fillId="2" borderId="12" xfId="0" applyNumberFormat="1" applyFont="1" applyFill="1" applyBorder="1"/>
    <xf numFmtId="9" fontId="0" fillId="3" borderId="32" xfId="4" applyFont="1" applyFill="1" applyBorder="1" applyAlignment="1">
      <alignment horizontal="center" vertical="center"/>
    </xf>
    <xf numFmtId="9" fontId="0" fillId="0" borderId="0" xfId="4" applyFont="1" applyBorder="1" applyAlignment="1">
      <alignment horizontal="center" vertical="center"/>
    </xf>
    <xf numFmtId="1" fontId="0" fillId="0" borderId="0" xfId="4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" fontId="0" fillId="0" borderId="45" xfId="3" applyNumberFormat="1" applyFont="1" applyBorder="1" applyAlignment="1">
      <alignment horizontal="center" vertical="center"/>
    </xf>
    <xf numFmtId="9" fontId="0" fillId="0" borderId="45" xfId="4" applyFont="1" applyBorder="1" applyAlignment="1">
      <alignment horizontal="center" vertical="center"/>
    </xf>
    <xf numFmtId="168" fontId="0" fillId="0" borderId="46" xfId="2" applyNumberFormat="1" applyFont="1" applyBorder="1" applyAlignment="1">
      <alignment horizontal="right" vertical="center"/>
    </xf>
    <xf numFmtId="0" fontId="0" fillId="0" borderId="33" xfId="0" applyBorder="1" applyAlignment="1">
      <alignment horizontal="center" vertical="center"/>
    </xf>
    <xf numFmtId="168" fontId="0" fillId="0" borderId="21" xfId="2" applyNumberFormat="1" applyFont="1" applyBorder="1" applyAlignment="1">
      <alignment horizontal="right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" fontId="0" fillId="0" borderId="35" xfId="4" applyNumberFormat="1" applyFont="1" applyBorder="1" applyAlignment="1">
      <alignment horizontal="center" vertical="center"/>
    </xf>
    <xf numFmtId="9" fontId="0" fillId="0" borderId="35" xfId="4" applyFont="1" applyBorder="1" applyAlignment="1">
      <alignment horizontal="center" vertical="center"/>
    </xf>
    <xf numFmtId="168" fontId="0" fillId="0" borderId="25" xfId="2" applyNumberFormat="1" applyFont="1" applyBorder="1" applyAlignment="1">
      <alignment horizontal="right" vertical="center"/>
    </xf>
    <xf numFmtId="14" fontId="0" fillId="0" borderId="0" xfId="2" applyNumberFormat="1" applyFont="1"/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4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4" fillId="14" borderId="0" xfId="0" applyFont="1" applyFill="1" applyAlignment="1">
      <alignment horizontal="left" vertical="center" wrapText="1"/>
    </xf>
    <xf numFmtId="0" fontId="10" fillId="0" borderId="3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8" borderId="36" xfId="0" applyFont="1" applyFill="1" applyBorder="1" applyAlignment="1">
      <alignment horizontal="center" vertical="center"/>
    </xf>
    <xf numFmtId="0" fontId="12" fillId="8" borderId="37" xfId="0" applyFont="1" applyFill="1" applyBorder="1" applyAlignment="1">
      <alignment horizontal="center" vertical="center"/>
    </xf>
    <xf numFmtId="0" fontId="12" fillId="8" borderId="38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13" borderId="31" xfId="0" applyFill="1" applyBorder="1" applyAlignment="1">
      <alignment horizontal="center" vertical="center"/>
    </xf>
    <xf numFmtId="0" fontId="0" fillId="13" borderId="32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0" borderId="33" xfId="0" applyBorder="1" applyAlignment="1">
      <alignment horizontal="left" vertical="center" wrapText="1"/>
    </xf>
    <xf numFmtId="0" fontId="0" fillId="15" borderId="31" xfId="0" applyFill="1" applyBorder="1" applyAlignment="1">
      <alignment horizontal="center" vertical="center"/>
    </xf>
    <xf numFmtId="0" fontId="0" fillId="15" borderId="32" xfId="0" applyFill="1" applyBorder="1" applyAlignment="1">
      <alignment horizontal="center" vertical="center"/>
    </xf>
    <xf numFmtId="0" fontId="0" fillId="17" borderId="0" xfId="0" applyFill="1"/>
    <xf numFmtId="0" fontId="0" fillId="16" borderId="44" xfId="0" applyFill="1" applyBorder="1" applyAlignment="1">
      <alignment horizontal="centerContinuous"/>
    </xf>
    <xf numFmtId="0" fontId="0" fillId="16" borderId="9" xfId="0" applyFill="1" applyBorder="1" applyAlignment="1">
      <alignment horizontal="centerContinuous"/>
    </xf>
    <xf numFmtId="0" fontId="0" fillId="17" borderId="44" xfId="0" applyFill="1" applyBorder="1" applyAlignment="1">
      <alignment horizontal="centerContinuous"/>
    </xf>
    <xf numFmtId="0" fontId="0" fillId="17" borderId="9" xfId="0" applyFill="1" applyBorder="1" applyAlignment="1">
      <alignment horizontal="centerContinuous"/>
    </xf>
  </cellXfs>
  <cellStyles count="5">
    <cellStyle name="Lien hypertexte" xfId="1" builtinId="8"/>
    <cellStyle name="Milliers" xfId="3" builtinId="3"/>
    <cellStyle name="Monétaire" xfId="2" builtinId="4"/>
    <cellStyle name="Normal" xfId="0" builtinId="0"/>
    <cellStyle name="Pourcentage" xfId="4" builtinId="5"/>
  </cellStyles>
  <dxfs count="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,##0\ &quot;€&quot;"/>
      <alignment horizontal="righ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_-* #,##0\ &quot;€&quot;_-;\-* #,##0\ &quot;€&quot;_-;_-* &quot;-&quot;??\ &quot;€&quot;_-;_-@_-"/>
      <alignment horizontal="center" vertical="center" textRotation="0" wrapText="0" indent="0" justifyLastLine="0" shrinkToFit="0" readingOrder="0"/>
    </dxf>
    <dxf>
      <numFmt numFmtId="165" formatCode="_-* #,##0\ &quot;€&quot;_-;\-* #,##0\ &quot;€&quot;_-;_-* &quot;-&quot;??\ &quot;€&quot;_-;_-@_-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6" formatCode="_-* #,##0\ [$€-40C]_-;\-* #,##0\ [$€-40C]_-;_-* &quot;-&quot;??\ [$€-40C]_-;_-@_-"/>
      <alignment horizontal="center" vertical="center" textRotation="0" wrapText="0" indent="0" justifyLastLine="0" shrinkToFit="0" readingOrder="0"/>
    </dxf>
    <dxf>
      <numFmt numFmtId="165" formatCode="_-* #,##0\ &quot;€&quot;_-;\-* #,##0\ &quot;€&quot;_-;_-* &quot;-&quot;??\ &quot;€&quot;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213360</xdr:rowOff>
    </xdr:from>
    <xdr:to>
      <xdr:col>4</xdr:col>
      <xdr:colOff>303742</xdr:colOff>
      <xdr:row>30</xdr:row>
      <xdr:rowOff>151046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5E13C81-AE2B-456D-8CB5-7E5CC4E23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86550"/>
          <a:ext cx="5371042" cy="1941746"/>
        </a:xfrm>
        <a:prstGeom prst="rect">
          <a:avLst/>
        </a:prstGeom>
      </xdr:spPr>
    </xdr:pic>
    <xdr:clientData/>
  </xdr:twoCellAnchor>
  <xdr:twoCellAnchor editAs="oneCell">
    <xdr:from>
      <xdr:col>4</xdr:col>
      <xdr:colOff>243841</xdr:colOff>
      <xdr:row>20</xdr:row>
      <xdr:rowOff>83820</xdr:rowOff>
    </xdr:from>
    <xdr:to>
      <xdr:col>9</xdr:col>
      <xdr:colOff>243841</xdr:colOff>
      <xdr:row>30</xdr:row>
      <xdr:rowOff>130862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A85AA5A-68C8-4756-B7A8-B6DD12509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4951" y="6562725"/>
          <a:ext cx="4581525" cy="20415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137160</xdr:rowOff>
    </xdr:from>
    <xdr:to>
      <xdr:col>4</xdr:col>
      <xdr:colOff>891540</xdr:colOff>
      <xdr:row>47</xdr:row>
      <xdr:rowOff>57326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06C7A7A-C48A-4894-A0F0-E1965338A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10600"/>
          <a:ext cx="5962650" cy="2996741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206168-8808-482E-AE19-BAC0A6387AC8}" name="ListeNoms" displayName="ListeNoms" ref="A1:Q183" totalsRowShown="0" headerRowDxfId="85" dataDxfId="84">
  <autoFilter ref="A1:Q183" xr:uid="{42206168-8808-482E-AE19-BAC0A6387AC8}"/>
  <sortState xmlns:xlrd2="http://schemas.microsoft.com/office/spreadsheetml/2017/richdata2" ref="A2:Q183">
    <sortCondition ref="A1:A183"/>
  </sortState>
  <tableColumns count="17">
    <tableColumn id="1" xr3:uid="{CE27E116-6847-4B9F-A27F-6AFF0E0B207B}" name="NOM" dataDxfId="83"/>
    <tableColumn id="2" xr3:uid="{58416362-1D01-403C-8F21-D3368ECFCEF5}" name="Prénom" dataDxfId="82"/>
    <tableColumn id="3" xr3:uid="{FA7879BE-05AC-4F30-BDD9-5CEF6222569F}" name="Numéro" dataDxfId="81"/>
    <tableColumn id="4" xr3:uid="{3777B725-5AD3-49AD-B050-902BB3AC349E}" name="Mail" dataDxfId="80"/>
    <tableColumn id="5" xr3:uid="{0F4A79CF-C05D-4EFB-A563-F4868D332298}" name="Proximité" dataDxfId="79"/>
    <tableColumn id="6" xr3:uid="{47DFDE34-8495-434F-8F6E-980D9E8F7AB3}" name="Réseau" dataDxfId="78"/>
    <tableColumn id="7" xr3:uid="{2F2ABC9A-4FC3-4F72-9108-265F57DDD419}" name="Intérêt Invest" dataDxfId="77"/>
    <tableColumn id="8" xr3:uid="{2CE0CA2A-1B8D-4B32-8786-6BE459443B16}" name="Intérêt Métier" dataDxfId="76"/>
    <tableColumn id="9" xr3:uid="{02709D2C-6F51-4BEA-AD6D-1F41863D9926}" name="Relation" dataDxfId="75"/>
    <tableColumn id="10" xr3:uid="{6F4B8066-4B5A-4B5A-B990-E582D3D3C7D1}" name="R0" dataDxfId="74"/>
    <tableColumn id="11" xr3:uid="{793592B8-CCCA-4C50-97B1-7F6BC2B7313E}" name="R1" dataDxfId="73"/>
    <tableColumn id="12" xr3:uid="{B1F7353D-4B10-468A-A29D-DC5DDD11C405}" name="R2" dataDxfId="72"/>
    <tableColumn id="13" xr3:uid="{607C5A8F-976A-44D6-B4C7-CB1EF22E01B3}" name="R3" dataDxfId="71"/>
    <tableColumn id="17" xr3:uid="{0B555CBA-7785-478B-9950-3F1B63832BDB}" name="Webinaire" dataDxfId="70"/>
    <tableColumn id="15" xr3:uid="{1DF87F53-5934-421F-995C-987DB9B11111}" name="Présentation métier" dataDxfId="69"/>
    <tableColumn id="14" xr3:uid="{4221EF7F-89B0-4B0B-94E8-D2EFFE2AD220}" name="JD" dataDxfId="68"/>
    <tableColumn id="16" xr3:uid="{72320B65-0014-4B59-872C-EBFD3B5FA777}" name="Dans l'équipe" dataDxfId="6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8AC3E-9F5C-4114-9247-62CAD2BD9EA8}" name="Tableau13" displayName="Tableau13" ref="A1:I11" totalsRowShown="0" headerRowDxfId="66" dataDxfId="65">
  <autoFilter ref="A1:I11" xr:uid="{1E18AC3E-9F5C-4114-9247-62CAD2BD9EA8}"/>
  <tableColumns count="9">
    <tableColumn id="1" xr3:uid="{F0BEA457-A662-4CFF-92AC-6C688DD12168}" name="Catégorie" dataDxfId="64"/>
    <tableColumn id="2" xr3:uid="{C9E3E485-6E1B-4C07-B162-129ADE11D6DC}" name="Produit" dataDxfId="63"/>
    <tableColumn id="3" xr3:uid="{9CFC76C3-2730-46A1-9922-1F014FEFA881}" name="Action" dataDxfId="62"/>
    <tableColumn id="4" xr3:uid="{2014EA8B-A8D0-499A-AA29-1976A460F146}" name="Quantité visées" dataDxfId="61"/>
    <tableColumn id="7" xr3:uid="{D9B24F2A-FC55-46A5-87FF-1E32783C8610}" name="Montant mensuel" dataDxfId="60" dataCellStyle="Monétaire"/>
    <tableColumn id="5" xr3:uid="{A80B9B47-7794-45D6-9C80-4EAB0AD909C4}" name="Montants visés" dataDxfId="59"/>
    <tableColumn id="9" xr3:uid="{C95F585A-8F2E-40B6-B80C-4F32BFEAFD81}" name="Quantité réalisée" dataDxfId="58"/>
    <tableColumn id="8" xr3:uid="{6562167D-DED2-42E7-9D13-9E9DA86B7F70}" name="Montant mensuel réalisé" dataDxfId="57" dataCellStyle="Monétaire"/>
    <tableColumn id="6" xr3:uid="{481C78DB-1ADE-4738-8EA3-929E1BB6B74D}" name="Montants réalisés" dataDxfId="56" dataCellStyle="Monétair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97BE59-5D95-4CDD-88C7-7A0E4287BA02}" name="Production" displayName="Production" ref="A6:H100" totalsRowShown="0" headerRowDxfId="55" headerRowBorderDxfId="54" tableBorderDxfId="53">
  <autoFilter ref="A6:H100" xr:uid="{F397BE59-5D95-4CDD-88C7-7A0E4287BA02}"/>
  <tableColumns count="8">
    <tableColumn id="1" xr3:uid="{37001E87-E457-4F4B-96DF-1266A345F36D}" name="Nom" dataDxfId="52"/>
    <tableColumn id="2" xr3:uid="{BE58B0EC-E019-4790-9B41-597DE67ED2B7}" name="Prénom" dataDxfId="51"/>
    <tableColumn id="3" xr3:uid="{39781470-7776-4474-92BE-55F6D7BE0A3B}" name="R1" dataDxfId="50" dataCellStyle="Pourcentage"/>
    <tableColumn id="6" xr3:uid="{7FD7CA69-2AE2-4AD5-B63D-0ACC3B94102C}" name="R suivi" dataDxfId="49" dataCellStyle="Pourcentage"/>
    <tableColumn id="4" xr3:uid="{E978F1C7-B973-4904-886F-DA4C873555F4}" name="Transformation" dataDxfId="48" dataCellStyle="Pourcentage"/>
    <tableColumn id="7" xr3:uid="{9564DD4A-7E58-4321-BAF9-AFF98A285343}" name="Produit" dataDxfId="47" dataCellStyle="Pourcentage"/>
    <tableColumn id="8" xr3:uid="{6E17376E-434D-4B32-9797-F4BDBD7D4B8E}" name="Remarque" dataDxfId="46" dataCellStyle="Pourcentage"/>
    <tableColumn id="5" xr3:uid="{66560C86-B368-42C0-BCEB-0E23FD7C0E41}" name="Assiette d'investissement" dataDxfId="45" dataCellStyle="Monétai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9AD46E-3AE1-4E39-AA16-3DAC3F8FCDC7}" name="Tableau5" displayName="Tableau5" ref="A5:E28" totalsRowShown="0" headerRowDxfId="44" headerRowBorderDxfId="43" tableBorderDxfId="42">
  <autoFilter ref="A5:E28" xr:uid="{1D9AD46E-3AE1-4E39-AA16-3DAC3F8FCDC7}"/>
  <tableColumns count="5">
    <tableColumn id="1" xr3:uid="{3B3C7D49-A0BF-47A2-8608-DE47920CCDAC}" name="Prénom"/>
    <tableColumn id="2" xr3:uid="{E6749F5B-E9BF-402D-890F-144A06DFE8FA}" name="NOM"/>
    <tableColumn id="3" xr3:uid="{79F42AD3-557A-4F7D-9F92-76A732915D82}" name="POA" dataDxfId="41"/>
    <tableColumn id="4" xr3:uid="{FD766468-585A-4FA7-89E3-6CE3E2FB900E}" name="Convention" dataDxfId="40" dataCellStyle="Milliers"/>
    <tableColumn id="5" xr3:uid="{B1431828-2CCC-4500-939C-9110EFBE16E7}" name="1er contrat" dataDxfId="39" dataCellStyle="Milli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A712D9-49C0-421A-9BC5-6DF3610D6E8C}" name="Tableau6" displayName="Tableau6" ref="A2:M1048576" totalsRowShown="0">
  <autoFilter ref="A2:M1048576" xr:uid="{ADA712D9-49C0-421A-9BC5-6DF3610D6E8C}"/>
  <tableColumns count="13">
    <tableColumn id="1" xr3:uid="{692B650D-426B-423E-9D21-77BA99428B68}" name="Nom"/>
    <tableColumn id="2" xr3:uid="{688351D0-0CEB-4C94-8E22-FE23E2745117}" name="Prénom"/>
    <tableColumn id="3" xr3:uid="{F97003CF-5450-4A46-BD96-D807E30D39BD}" name="Convention signée"/>
    <tableColumn id="4" xr3:uid="{66F511E2-6760-4425-B360-37C6B8EEC91A}" name="Date signature convention"/>
    <tableColumn id="5" xr3:uid="{E54191EB-36BC-4970-9B21-A3D8F69BE357}" name="Habilitation IOBSP"/>
    <tableColumn id="6" xr3:uid="{11F84490-BA39-40B9-B563-54F4295DD19B}" name="Date examen IOBSP" dataDxfId="3" dataCellStyle="Monétaire"/>
    <tableColumn id="7" xr3:uid="{152E1EB8-063B-43C8-BF6C-E6FBA33E14B3}" name="Habilitation MIA"/>
    <tableColumn id="8" xr3:uid="{4D5A548B-539C-4876-8C2A-A2B3706FE8FA}" name="Date examen MIA" dataDxfId="2" dataCellStyle="Monétaire"/>
    <tableColumn id="9" xr3:uid="{3ACE82BD-28EF-4148-B691-6F66AEFCF366}" name="Habilitation ALPSI"/>
    <tableColumn id="10" xr3:uid="{4C5D2224-E26D-48C6-80FC-2FD538D6CD77}" name="Date examen ALPSI" dataDxfId="1" dataCellStyle="Monétaire"/>
    <tableColumn id="11" xr3:uid="{5A3DE173-FEBC-4173-B6C9-4B2CD8D74312}" name="Habilitation CIF"/>
    <tableColumn id="12" xr3:uid="{6247C9C7-476B-43C3-AB0A-0E6290453E5A}" name="Date examen CIF" dataDxfId="0" dataCellStyle="Monétaire"/>
    <tableColumn id="13" xr3:uid="{94E00BCE-F366-4088-9D4B-8C985EA8207B}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E4C2-A704-448C-8EDB-A8CC270A421E}">
  <dimension ref="A1:S183"/>
  <sheetViews>
    <sheetView tabSelected="1" workbookViewId="0">
      <selection activeCell="R1" sqref="R1:XFD1048576"/>
    </sheetView>
  </sheetViews>
  <sheetFormatPr baseColWidth="10" defaultRowHeight="13.8" x14ac:dyDescent="0.25"/>
  <cols>
    <col min="1" max="1" width="19.6640625" style="5" bestFit="1" customWidth="1"/>
    <col min="2" max="2" width="13.77734375" style="5" bestFit="1" customWidth="1"/>
    <col min="3" max="3" width="14.33203125" style="5" bestFit="1" customWidth="1"/>
    <col min="4" max="4" width="27.77734375" style="5" bestFit="1" customWidth="1"/>
    <col min="5" max="5" width="13.6640625" style="5" bestFit="1" customWidth="1"/>
    <col min="6" max="6" width="10.44140625" style="5" bestFit="1" customWidth="1"/>
    <col min="7" max="7" width="15.6640625" style="5" customWidth="1"/>
    <col min="8" max="8" width="15.88671875" style="5" customWidth="1"/>
    <col min="9" max="9" width="17.5546875" style="11" bestFit="1" customWidth="1"/>
    <col min="10" max="13" width="5.77734375" style="1" bestFit="1" customWidth="1"/>
    <col min="14" max="15" width="13" style="1" bestFit="1" customWidth="1"/>
    <col min="16" max="16" width="7.77734375" style="1" customWidth="1"/>
    <col min="17" max="16384" width="11.5546875" style="1"/>
  </cols>
  <sheetData>
    <row r="1" spans="1:19" s="4" customFormat="1" ht="28.8" customHeight="1" x14ac:dyDescent="0.25">
      <c r="A1" s="9" t="s">
        <v>27</v>
      </c>
      <c r="B1" s="10" t="s">
        <v>0</v>
      </c>
      <c r="C1" s="10" t="s">
        <v>1</v>
      </c>
      <c r="D1" s="10" t="s">
        <v>2</v>
      </c>
      <c r="E1" s="10" t="s">
        <v>5</v>
      </c>
      <c r="F1" s="10" t="s">
        <v>3</v>
      </c>
      <c r="G1" s="10" t="s">
        <v>26</v>
      </c>
      <c r="H1" s="10" t="s">
        <v>17</v>
      </c>
      <c r="I1" s="10" t="s">
        <v>18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70</v>
      </c>
      <c r="O1" s="4" t="s">
        <v>68</v>
      </c>
      <c r="P1" s="4" t="s">
        <v>67</v>
      </c>
      <c r="Q1" s="4" t="s">
        <v>69</v>
      </c>
    </row>
    <row r="2" spans="1:19" s="4" customFormat="1" x14ac:dyDescent="0.25">
      <c r="A2" s="5"/>
      <c r="B2" s="5"/>
      <c r="C2" s="6"/>
      <c r="D2" s="5"/>
      <c r="E2" s="5"/>
      <c r="F2" s="5"/>
      <c r="G2" s="5"/>
      <c r="H2" s="5"/>
      <c r="I2" s="5"/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9" x14ac:dyDescent="0.25">
      <c r="C3" s="6"/>
      <c r="I3" s="5"/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9" x14ac:dyDescent="0.25">
      <c r="C4" s="6"/>
      <c r="I4" s="5"/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9" x14ac:dyDescent="0.25">
      <c r="C5" s="6"/>
      <c r="I5" s="5"/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9" x14ac:dyDescent="0.25">
      <c r="C6" s="6"/>
      <c r="I6" s="5"/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9" x14ac:dyDescent="0.25">
      <c r="C7" s="6"/>
      <c r="D7" s="7"/>
      <c r="I7" s="5"/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9" x14ac:dyDescent="0.25">
      <c r="C8" s="6"/>
      <c r="I8" s="5"/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  <c r="R8" s="2"/>
      <c r="S8" s="2"/>
    </row>
    <row r="9" spans="1:19" x14ac:dyDescent="0.25">
      <c r="C9" s="6"/>
      <c r="I9" s="5"/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9" x14ac:dyDescent="0.25">
      <c r="C10" s="6"/>
      <c r="I10" s="5"/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9" x14ac:dyDescent="0.25">
      <c r="C11" s="6"/>
      <c r="I11" s="5"/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9" x14ac:dyDescent="0.25">
      <c r="C12" s="6"/>
      <c r="I12" s="5"/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9" x14ac:dyDescent="0.25">
      <c r="C13" s="6"/>
      <c r="I13" s="5"/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9" x14ac:dyDescent="0.25">
      <c r="C14" s="6"/>
      <c r="I14" s="5"/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9" x14ac:dyDescent="0.25">
      <c r="C15" s="6"/>
      <c r="I15" s="5"/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9" x14ac:dyDescent="0.25">
      <c r="C16" s="6"/>
      <c r="I16" s="5"/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3:17" x14ac:dyDescent="0.25">
      <c r="C17" s="6"/>
      <c r="I17" s="5"/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3:17" x14ac:dyDescent="0.25">
      <c r="C18" s="6"/>
      <c r="I18" s="5"/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3:17" x14ac:dyDescent="0.25">
      <c r="C19" s="6"/>
      <c r="I19" s="5"/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3:17" x14ac:dyDescent="0.25">
      <c r="C20" s="6"/>
      <c r="I20" s="5"/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3:17" x14ac:dyDescent="0.25">
      <c r="C21" s="6"/>
      <c r="I21" s="5"/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3:17" x14ac:dyDescent="0.25">
      <c r="C22" s="6"/>
      <c r="I22" s="5"/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3:17" x14ac:dyDescent="0.25">
      <c r="C23" s="6"/>
      <c r="D23" s="7"/>
      <c r="I23" s="5"/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3:17" x14ac:dyDescent="0.25">
      <c r="C24" s="6"/>
      <c r="I24" s="5"/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3:17" x14ac:dyDescent="0.25">
      <c r="C25" s="6"/>
      <c r="I25" s="5"/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3:17" x14ac:dyDescent="0.25">
      <c r="C26" s="6"/>
      <c r="I26" s="5"/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3:17" x14ac:dyDescent="0.25">
      <c r="C27" s="6"/>
      <c r="I27" s="5"/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3:17" x14ac:dyDescent="0.25">
      <c r="C28" s="6"/>
      <c r="I28" s="5"/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3:17" x14ac:dyDescent="0.25">
      <c r="C29" s="6"/>
      <c r="I29" s="5"/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3:17" x14ac:dyDescent="0.25">
      <c r="C30" s="6"/>
      <c r="I30" s="5"/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3:17" x14ac:dyDescent="0.25">
      <c r="C31" s="6"/>
      <c r="I31" s="5"/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3:17" x14ac:dyDescent="0.25">
      <c r="C32" s="6"/>
      <c r="I32" s="5"/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3:17" x14ac:dyDescent="0.25">
      <c r="C33" s="6"/>
      <c r="I33" s="5"/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3:17" x14ac:dyDescent="0.25">
      <c r="C34" s="6"/>
      <c r="I34" s="5"/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3:17" x14ac:dyDescent="0.25">
      <c r="C35" s="6"/>
      <c r="I35" s="5"/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3:17" x14ac:dyDescent="0.25">
      <c r="C36" s="6"/>
      <c r="I36" s="5"/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3:17" x14ac:dyDescent="0.25">
      <c r="C37" s="6"/>
      <c r="I37" s="5"/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3:17" x14ac:dyDescent="0.25">
      <c r="C38" s="6"/>
      <c r="I38" s="5"/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3:17" x14ac:dyDescent="0.25">
      <c r="C39" s="6"/>
      <c r="I39" s="5"/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3:17" x14ac:dyDescent="0.25">
      <c r="C40" s="6"/>
      <c r="I40" s="5"/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3:17" x14ac:dyDescent="0.25">
      <c r="C41" s="6"/>
      <c r="I41" s="5"/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3:17" x14ac:dyDescent="0.25">
      <c r="C42" s="6"/>
      <c r="I42" s="5"/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3:17" x14ac:dyDescent="0.25">
      <c r="C43" s="6"/>
      <c r="I43" s="5"/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3:17" x14ac:dyDescent="0.25">
      <c r="C44" s="6"/>
      <c r="I44" s="5"/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3:17" x14ac:dyDescent="0.25">
      <c r="C45" s="6"/>
      <c r="I45" s="5"/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3:17" x14ac:dyDescent="0.25">
      <c r="C46" s="6"/>
      <c r="I46" s="5"/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3:17" x14ac:dyDescent="0.25">
      <c r="C47" s="6"/>
      <c r="I47" s="5"/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3:17" x14ac:dyDescent="0.25">
      <c r="C48" s="6"/>
      <c r="I48" s="5"/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3:17" x14ac:dyDescent="0.25">
      <c r="C49" s="6"/>
      <c r="I49" s="5"/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3:17" ht="14.4" x14ac:dyDescent="0.25">
      <c r="C50" s="6"/>
      <c r="D50" s="8"/>
      <c r="I50" s="5"/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3:17" x14ac:dyDescent="0.25">
      <c r="C51" s="6"/>
      <c r="I51" s="5"/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3:17" x14ac:dyDescent="0.25">
      <c r="C52" s="6"/>
      <c r="I52" s="5"/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3:17" x14ac:dyDescent="0.25">
      <c r="C53" s="6"/>
      <c r="I53" s="5"/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3:17" x14ac:dyDescent="0.25">
      <c r="C54" s="6"/>
      <c r="I54" s="5"/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3:17" x14ac:dyDescent="0.25">
      <c r="C55" s="6"/>
      <c r="I55" s="5"/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3:17" x14ac:dyDescent="0.25">
      <c r="C56" s="6"/>
      <c r="I56" s="5"/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3:17" x14ac:dyDescent="0.25">
      <c r="C57" s="6"/>
      <c r="I57" s="5"/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3:17" x14ac:dyDescent="0.25">
      <c r="C58" s="6"/>
      <c r="I58" s="5"/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3:17" x14ac:dyDescent="0.25">
      <c r="C59" s="6"/>
      <c r="I59" s="5"/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3:17" x14ac:dyDescent="0.25">
      <c r="C60" s="6"/>
      <c r="I60" s="5"/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3:17" x14ac:dyDescent="0.25">
      <c r="C61" s="6"/>
      <c r="I61" s="5"/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3:17" x14ac:dyDescent="0.25">
      <c r="C62" s="6"/>
      <c r="I62" s="5"/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3:17" x14ac:dyDescent="0.25">
      <c r="C63" s="6"/>
      <c r="I63" s="5"/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3:17" x14ac:dyDescent="0.25">
      <c r="C64" s="6"/>
      <c r="I64" s="5"/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3:17" x14ac:dyDescent="0.25">
      <c r="C65" s="6"/>
      <c r="I65" s="5"/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3:17" x14ac:dyDescent="0.25">
      <c r="C66" s="6"/>
      <c r="I66" s="5"/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3:17" x14ac:dyDescent="0.25">
      <c r="C67" s="6"/>
      <c r="I67" s="5"/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3:17" x14ac:dyDescent="0.25">
      <c r="C68" s="6"/>
      <c r="I68" s="5"/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3:17" x14ac:dyDescent="0.25">
      <c r="C69" s="6"/>
      <c r="I69" s="5"/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3:17" x14ac:dyDescent="0.25">
      <c r="C70" s="6"/>
      <c r="I70" s="5"/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3:17" x14ac:dyDescent="0.25">
      <c r="C71" s="6"/>
      <c r="I71" s="5"/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3:17" x14ac:dyDescent="0.25">
      <c r="C72" s="6"/>
      <c r="I72" s="5"/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3:17" x14ac:dyDescent="0.25">
      <c r="C73" s="6"/>
      <c r="I73" s="5"/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  <row r="74" spans="3:17" x14ac:dyDescent="0.25">
      <c r="C74" s="6"/>
      <c r="I74" s="5"/>
      <c r="J74" s="3" t="b">
        <v>0</v>
      </c>
      <c r="K74" s="3" t="b">
        <v>0</v>
      </c>
      <c r="L74" s="3" t="b">
        <v>0</v>
      </c>
      <c r="M74" s="3" t="b">
        <v>0</v>
      </c>
      <c r="N74" s="3" t="b">
        <v>0</v>
      </c>
      <c r="O74" s="3" t="b">
        <v>0</v>
      </c>
      <c r="P74" s="3" t="b">
        <v>0</v>
      </c>
      <c r="Q74" s="3" t="b">
        <v>0</v>
      </c>
    </row>
    <row r="75" spans="3:17" x14ac:dyDescent="0.25">
      <c r="C75" s="6"/>
      <c r="I75" s="5"/>
      <c r="J75" s="3" t="b">
        <v>0</v>
      </c>
      <c r="K75" s="3" t="b">
        <v>0</v>
      </c>
      <c r="L75" s="3" t="b">
        <v>0</v>
      </c>
      <c r="M75" s="3" t="b">
        <v>0</v>
      </c>
      <c r="N75" s="3" t="b">
        <v>0</v>
      </c>
      <c r="O75" s="3" t="b">
        <v>0</v>
      </c>
      <c r="P75" s="3" t="b">
        <v>0</v>
      </c>
      <c r="Q75" s="3" t="b">
        <v>0</v>
      </c>
    </row>
    <row r="76" spans="3:17" ht="14.4" x14ac:dyDescent="0.25">
      <c r="C76" s="6"/>
      <c r="D76" s="8"/>
      <c r="I76" s="5"/>
      <c r="J76" s="3" t="b">
        <v>0</v>
      </c>
      <c r="K76" s="3" t="b">
        <v>0</v>
      </c>
      <c r="L76" s="3" t="b">
        <v>0</v>
      </c>
      <c r="M76" s="3" t="b">
        <v>0</v>
      </c>
      <c r="N76" s="3" t="b">
        <v>0</v>
      </c>
      <c r="O76" s="3" t="b">
        <v>0</v>
      </c>
      <c r="P76" s="3" t="b">
        <v>0</v>
      </c>
      <c r="Q76" s="3" t="b">
        <v>0</v>
      </c>
    </row>
    <row r="77" spans="3:17" x14ac:dyDescent="0.25">
      <c r="C77" s="6"/>
      <c r="I77" s="5"/>
      <c r="J77" s="3" t="b">
        <v>0</v>
      </c>
      <c r="K77" s="3" t="b">
        <v>0</v>
      </c>
      <c r="L77" s="3" t="b">
        <v>0</v>
      </c>
      <c r="M77" s="3" t="b">
        <v>0</v>
      </c>
      <c r="N77" s="3" t="b">
        <v>0</v>
      </c>
      <c r="O77" s="3" t="b">
        <v>0</v>
      </c>
      <c r="P77" s="3" t="b">
        <v>0</v>
      </c>
      <c r="Q77" s="3" t="b">
        <v>0</v>
      </c>
    </row>
    <row r="78" spans="3:17" x14ac:dyDescent="0.25">
      <c r="C78" s="6"/>
      <c r="I78" s="5"/>
      <c r="J78" s="3" t="b">
        <v>0</v>
      </c>
      <c r="K78" s="3" t="b">
        <v>0</v>
      </c>
      <c r="L78" s="3" t="b">
        <v>0</v>
      </c>
      <c r="M78" s="3" t="b">
        <v>0</v>
      </c>
      <c r="N78" s="3" t="b">
        <v>0</v>
      </c>
      <c r="O78" s="3" t="b">
        <v>0</v>
      </c>
      <c r="P78" s="3" t="b">
        <v>0</v>
      </c>
      <c r="Q78" s="3" t="b">
        <v>0</v>
      </c>
    </row>
    <row r="79" spans="3:17" x14ac:dyDescent="0.25">
      <c r="C79" s="6"/>
      <c r="I79" s="5"/>
      <c r="J79" s="3" t="b">
        <v>0</v>
      </c>
      <c r="K79" s="3" t="b">
        <v>0</v>
      </c>
      <c r="L79" s="3" t="b">
        <v>0</v>
      </c>
      <c r="M79" s="3" t="b">
        <v>0</v>
      </c>
      <c r="N79" s="3" t="b">
        <v>0</v>
      </c>
      <c r="O79" s="3" t="b">
        <v>0</v>
      </c>
      <c r="P79" s="3" t="b">
        <v>0</v>
      </c>
      <c r="Q79" s="3" t="b">
        <v>0</v>
      </c>
    </row>
    <row r="80" spans="3:17" x14ac:dyDescent="0.25">
      <c r="C80" s="6"/>
      <c r="I80" s="5"/>
      <c r="J80" s="3" t="b">
        <v>0</v>
      </c>
      <c r="K80" s="3" t="b">
        <v>0</v>
      </c>
      <c r="L80" s="3" t="b">
        <v>0</v>
      </c>
      <c r="M80" s="3" t="b">
        <v>0</v>
      </c>
      <c r="N80" s="3" t="b">
        <v>0</v>
      </c>
      <c r="O80" s="3" t="b">
        <v>0</v>
      </c>
      <c r="P80" s="3" t="b">
        <v>0</v>
      </c>
      <c r="Q80" s="3" t="b">
        <v>0</v>
      </c>
    </row>
    <row r="81" spans="3:17" x14ac:dyDescent="0.25">
      <c r="C81" s="6"/>
      <c r="I81" s="5"/>
      <c r="J81" s="3" t="b">
        <v>0</v>
      </c>
      <c r="K81" s="3" t="b">
        <v>0</v>
      </c>
      <c r="L81" s="3" t="b">
        <v>0</v>
      </c>
      <c r="M81" s="3" t="b">
        <v>0</v>
      </c>
      <c r="N81" s="3" t="b">
        <v>0</v>
      </c>
      <c r="O81" s="3" t="b">
        <v>0</v>
      </c>
      <c r="P81" s="3" t="b">
        <v>0</v>
      </c>
      <c r="Q81" s="3" t="b">
        <v>0</v>
      </c>
    </row>
    <row r="82" spans="3:17" x14ac:dyDescent="0.25">
      <c r="C82" s="6"/>
      <c r="I82" s="5"/>
      <c r="J82" s="3" t="b">
        <v>0</v>
      </c>
      <c r="K82" s="3" t="b">
        <v>0</v>
      </c>
      <c r="L82" s="3" t="b">
        <v>0</v>
      </c>
      <c r="M82" s="3" t="b">
        <v>0</v>
      </c>
      <c r="N82" s="3" t="b">
        <v>0</v>
      </c>
      <c r="O82" s="3" t="b">
        <v>0</v>
      </c>
      <c r="P82" s="3" t="b">
        <v>0</v>
      </c>
      <c r="Q82" s="3" t="b">
        <v>0</v>
      </c>
    </row>
    <row r="83" spans="3:17" x14ac:dyDescent="0.25">
      <c r="C83" s="6"/>
      <c r="I83" s="5"/>
      <c r="J83" s="3" t="b">
        <v>0</v>
      </c>
      <c r="K83" s="3" t="b">
        <v>0</v>
      </c>
      <c r="L83" s="3" t="b">
        <v>0</v>
      </c>
      <c r="M83" s="3" t="b">
        <v>0</v>
      </c>
      <c r="N83" s="3" t="b">
        <v>0</v>
      </c>
      <c r="O83" s="3" t="b">
        <v>0</v>
      </c>
      <c r="P83" s="3" t="b">
        <v>0</v>
      </c>
      <c r="Q83" s="3" t="b">
        <v>0</v>
      </c>
    </row>
    <row r="84" spans="3:17" x14ac:dyDescent="0.25">
      <c r="C84" s="6"/>
      <c r="I84" s="5"/>
      <c r="J84" s="3" t="b">
        <v>0</v>
      </c>
      <c r="K84" s="3" t="b">
        <v>0</v>
      </c>
      <c r="L84" s="3" t="b">
        <v>0</v>
      </c>
      <c r="M84" s="3" t="b">
        <v>0</v>
      </c>
      <c r="N84" s="3" t="b">
        <v>0</v>
      </c>
      <c r="O84" s="3" t="b">
        <v>0</v>
      </c>
      <c r="P84" s="3" t="b">
        <v>0</v>
      </c>
      <c r="Q84" s="3" t="b">
        <v>0</v>
      </c>
    </row>
    <row r="85" spans="3:17" x14ac:dyDescent="0.25">
      <c r="C85" s="6"/>
      <c r="I85" s="5"/>
      <c r="J85" s="3" t="b">
        <v>0</v>
      </c>
      <c r="K85" s="3" t="b">
        <v>0</v>
      </c>
      <c r="L85" s="3" t="b">
        <v>0</v>
      </c>
      <c r="M85" s="3" t="b">
        <v>0</v>
      </c>
      <c r="N85" s="3" t="b">
        <v>0</v>
      </c>
      <c r="O85" s="3" t="b">
        <v>0</v>
      </c>
      <c r="P85" s="3" t="b">
        <v>0</v>
      </c>
      <c r="Q85" s="3" t="b">
        <v>0</v>
      </c>
    </row>
    <row r="86" spans="3:17" x14ac:dyDescent="0.25">
      <c r="C86" s="6"/>
      <c r="I86" s="5"/>
      <c r="J86" s="3" t="b">
        <v>0</v>
      </c>
      <c r="K86" s="3" t="b">
        <v>0</v>
      </c>
      <c r="L86" s="3" t="b">
        <v>0</v>
      </c>
      <c r="M86" s="3" t="b">
        <v>0</v>
      </c>
      <c r="N86" s="3" t="b">
        <v>0</v>
      </c>
      <c r="O86" s="3" t="b">
        <v>0</v>
      </c>
      <c r="P86" s="3" t="b">
        <v>0</v>
      </c>
      <c r="Q86" s="3" t="b">
        <v>0</v>
      </c>
    </row>
    <row r="87" spans="3:17" x14ac:dyDescent="0.25">
      <c r="C87" s="6"/>
      <c r="I87" s="5"/>
      <c r="J87" s="3" t="b">
        <v>0</v>
      </c>
      <c r="K87" s="3" t="b">
        <v>0</v>
      </c>
      <c r="L87" s="3" t="b">
        <v>0</v>
      </c>
      <c r="M87" s="3" t="b">
        <v>0</v>
      </c>
      <c r="N87" s="3" t="b">
        <v>0</v>
      </c>
      <c r="O87" s="3" t="b">
        <v>0</v>
      </c>
      <c r="P87" s="3" t="b">
        <v>0</v>
      </c>
      <c r="Q87" s="3" t="b">
        <v>0</v>
      </c>
    </row>
    <row r="88" spans="3:17" x14ac:dyDescent="0.25">
      <c r="C88" s="6"/>
      <c r="I88" s="5"/>
      <c r="J88" s="3" t="b">
        <v>0</v>
      </c>
      <c r="K88" s="3" t="b">
        <v>0</v>
      </c>
      <c r="L88" s="3" t="b">
        <v>0</v>
      </c>
      <c r="M88" s="3" t="b">
        <v>0</v>
      </c>
      <c r="N88" s="3" t="b">
        <v>0</v>
      </c>
      <c r="O88" s="3" t="b">
        <v>0</v>
      </c>
      <c r="P88" s="3" t="b">
        <v>0</v>
      </c>
      <c r="Q88" s="3" t="b">
        <v>0</v>
      </c>
    </row>
    <row r="89" spans="3:17" x14ac:dyDescent="0.25">
      <c r="C89" s="6"/>
      <c r="I89" s="5"/>
      <c r="J89" s="3" t="b">
        <v>0</v>
      </c>
      <c r="K89" s="3" t="b">
        <v>0</v>
      </c>
      <c r="L89" s="3" t="b">
        <v>0</v>
      </c>
      <c r="M89" s="3" t="b">
        <v>0</v>
      </c>
      <c r="N89" s="3" t="b">
        <v>0</v>
      </c>
      <c r="O89" s="3" t="b">
        <v>0</v>
      </c>
      <c r="P89" s="3" t="b">
        <v>0</v>
      </c>
      <c r="Q89" s="3" t="b">
        <v>0</v>
      </c>
    </row>
    <row r="90" spans="3:17" x14ac:dyDescent="0.25">
      <c r="C90" s="6"/>
      <c r="I90" s="5"/>
      <c r="J90" s="3" t="b">
        <v>0</v>
      </c>
      <c r="K90" s="3" t="b">
        <v>0</v>
      </c>
      <c r="L90" s="3" t="b">
        <v>0</v>
      </c>
      <c r="M90" s="3" t="b">
        <v>0</v>
      </c>
      <c r="N90" s="3" t="b">
        <v>0</v>
      </c>
      <c r="O90" s="3" t="b">
        <v>0</v>
      </c>
      <c r="P90" s="3" t="b">
        <v>0</v>
      </c>
      <c r="Q90" s="3" t="b">
        <v>0</v>
      </c>
    </row>
    <row r="91" spans="3:17" x14ac:dyDescent="0.25">
      <c r="C91" s="6"/>
      <c r="I91" s="5"/>
      <c r="J91" s="3" t="b">
        <v>0</v>
      </c>
      <c r="K91" s="3" t="b">
        <v>0</v>
      </c>
      <c r="L91" s="3" t="b">
        <v>0</v>
      </c>
      <c r="M91" s="3" t="b">
        <v>0</v>
      </c>
      <c r="N91" s="3" t="b">
        <v>0</v>
      </c>
      <c r="O91" s="3" t="b">
        <v>0</v>
      </c>
      <c r="P91" s="3" t="b">
        <v>0</v>
      </c>
      <c r="Q91" s="3" t="b">
        <v>0</v>
      </c>
    </row>
    <row r="92" spans="3:17" x14ac:dyDescent="0.25">
      <c r="C92" s="6"/>
      <c r="I92" s="5"/>
      <c r="J92" s="3" t="b">
        <v>0</v>
      </c>
      <c r="K92" s="3" t="b">
        <v>0</v>
      </c>
      <c r="L92" s="3" t="b">
        <v>0</v>
      </c>
      <c r="M92" s="3" t="b">
        <v>0</v>
      </c>
      <c r="N92" s="3" t="b">
        <v>0</v>
      </c>
      <c r="O92" s="3" t="b">
        <v>0</v>
      </c>
      <c r="P92" s="3" t="b">
        <v>0</v>
      </c>
      <c r="Q92" s="3" t="b">
        <v>0</v>
      </c>
    </row>
    <row r="93" spans="3:17" x14ac:dyDescent="0.25">
      <c r="C93" s="6"/>
      <c r="I93" s="5"/>
      <c r="J93" s="3" t="b">
        <v>0</v>
      </c>
      <c r="K93" s="3" t="b">
        <v>0</v>
      </c>
      <c r="L93" s="3" t="b">
        <v>0</v>
      </c>
      <c r="M93" s="3" t="b">
        <v>0</v>
      </c>
      <c r="N93" s="3" t="b">
        <v>0</v>
      </c>
      <c r="O93" s="3" t="b">
        <v>0</v>
      </c>
      <c r="P93" s="3" t="b">
        <v>0</v>
      </c>
      <c r="Q93" s="3" t="b">
        <v>0</v>
      </c>
    </row>
    <row r="94" spans="3:17" x14ac:dyDescent="0.25">
      <c r="C94" s="6"/>
      <c r="I94" s="5"/>
      <c r="J94" s="3" t="b">
        <v>0</v>
      </c>
      <c r="K94" s="3" t="b">
        <v>0</v>
      </c>
      <c r="L94" s="3" t="b">
        <v>0</v>
      </c>
      <c r="M94" s="3" t="b">
        <v>0</v>
      </c>
      <c r="N94" s="3" t="b">
        <v>0</v>
      </c>
      <c r="O94" s="3" t="b">
        <v>0</v>
      </c>
      <c r="P94" s="3" t="b">
        <v>0</v>
      </c>
      <c r="Q94" s="3" t="b">
        <v>0</v>
      </c>
    </row>
    <row r="95" spans="3:17" x14ac:dyDescent="0.25">
      <c r="C95" s="6"/>
      <c r="I95" s="5"/>
      <c r="J95" s="3" t="b">
        <v>0</v>
      </c>
      <c r="K95" s="3" t="b">
        <v>0</v>
      </c>
      <c r="L95" s="3" t="b">
        <v>0</v>
      </c>
      <c r="M95" s="3" t="b">
        <v>0</v>
      </c>
      <c r="N95" s="3" t="b">
        <v>0</v>
      </c>
      <c r="O95" s="3" t="b">
        <v>0</v>
      </c>
      <c r="P95" s="3" t="b">
        <v>0</v>
      </c>
      <c r="Q95" s="3" t="b">
        <v>0</v>
      </c>
    </row>
    <row r="96" spans="3:17" x14ac:dyDescent="0.25">
      <c r="C96" s="6"/>
      <c r="I96" s="5"/>
      <c r="J96" s="3" t="b">
        <v>0</v>
      </c>
      <c r="K96" s="3" t="b">
        <v>0</v>
      </c>
      <c r="L96" s="3" t="b">
        <v>0</v>
      </c>
      <c r="M96" s="3" t="b">
        <v>0</v>
      </c>
      <c r="N96" s="3" t="b">
        <v>0</v>
      </c>
      <c r="O96" s="3" t="b">
        <v>0</v>
      </c>
      <c r="P96" s="3" t="b">
        <v>0</v>
      </c>
      <c r="Q96" s="3" t="b">
        <v>0</v>
      </c>
    </row>
    <row r="97" spans="3:17" x14ac:dyDescent="0.25">
      <c r="C97" s="6"/>
      <c r="I97" s="5"/>
      <c r="J97" s="3" t="b">
        <v>0</v>
      </c>
      <c r="K97" s="3" t="b">
        <v>0</v>
      </c>
      <c r="L97" s="3" t="b">
        <v>0</v>
      </c>
      <c r="M97" s="3" t="b">
        <v>0</v>
      </c>
      <c r="N97" s="3" t="b">
        <v>0</v>
      </c>
      <c r="O97" s="3" t="b">
        <v>0</v>
      </c>
      <c r="P97" s="3" t="b">
        <v>0</v>
      </c>
      <c r="Q97" s="3" t="b">
        <v>0</v>
      </c>
    </row>
    <row r="98" spans="3:17" x14ac:dyDescent="0.25">
      <c r="C98" s="6"/>
      <c r="I98" s="5"/>
      <c r="J98" s="3" t="b">
        <v>0</v>
      </c>
      <c r="K98" s="3" t="b">
        <v>0</v>
      </c>
      <c r="L98" s="3" t="b">
        <v>0</v>
      </c>
      <c r="M98" s="3" t="b">
        <v>0</v>
      </c>
      <c r="N98" s="3" t="b">
        <v>0</v>
      </c>
      <c r="O98" s="3" t="b">
        <v>0</v>
      </c>
      <c r="P98" s="3" t="b">
        <v>0</v>
      </c>
      <c r="Q98" s="3" t="b">
        <v>0</v>
      </c>
    </row>
    <row r="99" spans="3:17" x14ac:dyDescent="0.25">
      <c r="C99" s="6"/>
      <c r="I99" s="5"/>
      <c r="J99" s="3" t="b">
        <v>0</v>
      </c>
      <c r="K99" s="3" t="b">
        <v>0</v>
      </c>
      <c r="L99" s="3" t="b">
        <v>0</v>
      </c>
      <c r="M99" s="3" t="b">
        <v>0</v>
      </c>
      <c r="N99" s="3" t="b">
        <v>0</v>
      </c>
      <c r="O99" s="3" t="b">
        <v>0</v>
      </c>
      <c r="P99" s="3" t="b">
        <v>0</v>
      </c>
      <c r="Q99" s="3" t="b">
        <v>0</v>
      </c>
    </row>
    <row r="100" spans="3:17" x14ac:dyDescent="0.25">
      <c r="C100" s="6"/>
      <c r="I100" s="5"/>
      <c r="J100" s="3" t="b">
        <v>0</v>
      </c>
      <c r="K100" s="3" t="b">
        <v>0</v>
      </c>
      <c r="L100" s="3" t="b">
        <v>0</v>
      </c>
      <c r="M100" s="3" t="b">
        <v>0</v>
      </c>
      <c r="N100" s="3" t="b">
        <v>0</v>
      </c>
      <c r="O100" s="3" t="b">
        <v>0</v>
      </c>
      <c r="P100" s="3" t="b">
        <v>0</v>
      </c>
      <c r="Q100" s="3" t="b">
        <v>0</v>
      </c>
    </row>
    <row r="101" spans="3:17" x14ac:dyDescent="0.25">
      <c r="C101" s="6"/>
      <c r="I101" s="5"/>
      <c r="J101" s="3" t="b">
        <v>0</v>
      </c>
      <c r="K101" s="3" t="b">
        <v>0</v>
      </c>
      <c r="L101" s="3" t="b">
        <v>0</v>
      </c>
      <c r="M101" s="3" t="b">
        <v>0</v>
      </c>
      <c r="N101" s="3" t="b">
        <v>0</v>
      </c>
      <c r="O101" s="3" t="b">
        <v>0</v>
      </c>
      <c r="P101" s="3" t="b">
        <v>0</v>
      </c>
      <c r="Q101" s="3" t="b">
        <v>0</v>
      </c>
    </row>
    <row r="102" spans="3:17" x14ac:dyDescent="0.25">
      <c r="C102" s="6"/>
      <c r="I102" s="5"/>
      <c r="J102" s="3" t="b">
        <v>0</v>
      </c>
      <c r="K102" s="3" t="b">
        <v>0</v>
      </c>
      <c r="L102" s="3" t="b">
        <v>0</v>
      </c>
      <c r="M102" s="3" t="b">
        <v>0</v>
      </c>
      <c r="N102" s="3" t="b">
        <v>0</v>
      </c>
      <c r="O102" s="3" t="b">
        <v>0</v>
      </c>
      <c r="P102" s="3" t="b">
        <v>0</v>
      </c>
      <c r="Q102" s="3" t="b">
        <v>0</v>
      </c>
    </row>
    <row r="103" spans="3:17" x14ac:dyDescent="0.25">
      <c r="C103" s="6"/>
      <c r="I103" s="5"/>
      <c r="J103" s="3" t="b">
        <v>0</v>
      </c>
      <c r="K103" s="3" t="b">
        <v>0</v>
      </c>
      <c r="L103" s="3" t="b">
        <v>0</v>
      </c>
      <c r="M103" s="3" t="b">
        <v>0</v>
      </c>
      <c r="N103" s="3" t="b">
        <v>0</v>
      </c>
      <c r="O103" s="3" t="b">
        <v>0</v>
      </c>
      <c r="P103" s="3" t="b">
        <v>0</v>
      </c>
      <c r="Q103" s="3" t="b">
        <v>0</v>
      </c>
    </row>
    <row r="104" spans="3:17" x14ac:dyDescent="0.25">
      <c r="C104" s="6"/>
      <c r="I104" s="5"/>
      <c r="J104" s="3" t="b">
        <v>0</v>
      </c>
      <c r="K104" s="3" t="b">
        <v>0</v>
      </c>
      <c r="L104" s="3" t="b">
        <v>0</v>
      </c>
      <c r="M104" s="3" t="b">
        <v>0</v>
      </c>
      <c r="N104" s="3" t="b">
        <v>0</v>
      </c>
      <c r="O104" s="3" t="b">
        <v>0</v>
      </c>
      <c r="P104" s="3" t="b">
        <v>0</v>
      </c>
      <c r="Q104" s="3" t="b">
        <v>0</v>
      </c>
    </row>
    <row r="105" spans="3:17" x14ac:dyDescent="0.25">
      <c r="C105" s="6"/>
      <c r="I105" s="5"/>
      <c r="J105" s="3" t="b">
        <v>0</v>
      </c>
      <c r="K105" s="3" t="b">
        <v>0</v>
      </c>
      <c r="L105" s="3" t="b">
        <v>0</v>
      </c>
      <c r="M105" s="3" t="b">
        <v>0</v>
      </c>
      <c r="N105" s="3" t="b">
        <v>0</v>
      </c>
      <c r="O105" s="3" t="b">
        <v>0</v>
      </c>
      <c r="P105" s="3" t="b">
        <v>0</v>
      </c>
      <c r="Q105" s="3" t="b">
        <v>0</v>
      </c>
    </row>
    <row r="106" spans="3:17" x14ac:dyDescent="0.25">
      <c r="C106" s="6"/>
      <c r="I106" s="5"/>
      <c r="J106" s="3" t="b">
        <v>0</v>
      </c>
      <c r="K106" s="3" t="b">
        <v>0</v>
      </c>
      <c r="L106" s="3" t="b">
        <v>0</v>
      </c>
      <c r="M106" s="3" t="b">
        <v>0</v>
      </c>
      <c r="N106" s="3" t="b">
        <v>0</v>
      </c>
      <c r="O106" s="3" t="b">
        <v>0</v>
      </c>
      <c r="P106" s="3" t="b">
        <v>0</v>
      </c>
      <c r="Q106" s="3" t="b">
        <v>0</v>
      </c>
    </row>
    <row r="107" spans="3:17" x14ac:dyDescent="0.25">
      <c r="C107" s="6"/>
      <c r="I107" s="5"/>
      <c r="J107" s="3" t="b">
        <v>0</v>
      </c>
      <c r="K107" s="3" t="b">
        <v>0</v>
      </c>
      <c r="L107" s="3" t="b">
        <v>0</v>
      </c>
      <c r="M107" s="3" t="b">
        <v>0</v>
      </c>
      <c r="N107" s="3" t="b">
        <v>0</v>
      </c>
      <c r="O107" s="3" t="b">
        <v>0</v>
      </c>
      <c r="P107" s="3" t="b">
        <v>0</v>
      </c>
      <c r="Q107" s="3" t="b">
        <v>0</v>
      </c>
    </row>
    <row r="108" spans="3:17" x14ac:dyDescent="0.25">
      <c r="C108" s="6"/>
      <c r="I108" s="5"/>
      <c r="J108" s="3" t="b">
        <v>0</v>
      </c>
      <c r="K108" s="3" t="b">
        <v>0</v>
      </c>
      <c r="L108" s="3" t="b">
        <v>0</v>
      </c>
      <c r="M108" s="3" t="b">
        <v>0</v>
      </c>
      <c r="N108" s="3" t="b">
        <v>0</v>
      </c>
      <c r="O108" s="3" t="b">
        <v>0</v>
      </c>
      <c r="P108" s="3" t="b">
        <v>0</v>
      </c>
      <c r="Q108" s="3" t="b">
        <v>0</v>
      </c>
    </row>
    <row r="109" spans="3:17" x14ac:dyDescent="0.25">
      <c r="C109" s="6"/>
      <c r="I109" s="5"/>
      <c r="J109" s="3" t="b">
        <v>0</v>
      </c>
      <c r="K109" s="3" t="b">
        <v>0</v>
      </c>
      <c r="L109" s="3" t="b">
        <v>0</v>
      </c>
      <c r="M109" s="3" t="b">
        <v>0</v>
      </c>
      <c r="N109" s="3" t="b">
        <v>0</v>
      </c>
      <c r="O109" s="3" t="b">
        <v>0</v>
      </c>
      <c r="P109" s="3" t="b">
        <v>0</v>
      </c>
      <c r="Q109" s="3" t="b">
        <v>0</v>
      </c>
    </row>
    <row r="110" spans="3:17" x14ac:dyDescent="0.25">
      <c r="C110" s="6"/>
      <c r="I110" s="5"/>
      <c r="J110" s="3" t="b">
        <v>0</v>
      </c>
      <c r="K110" s="3" t="b">
        <v>0</v>
      </c>
      <c r="L110" s="3" t="b">
        <v>0</v>
      </c>
      <c r="M110" s="3" t="b">
        <v>0</v>
      </c>
      <c r="N110" s="3" t="b">
        <v>0</v>
      </c>
      <c r="O110" s="3" t="b">
        <v>0</v>
      </c>
      <c r="P110" s="3" t="b">
        <v>0</v>
      </c>
      <c r="Q110" s="3" t="b">
        <v>0</v>
      </c>
    </row>
    <row r="111" spans="3:17" x14ac:dyDescent="0.25">
      <c r="C111" s="6"/>
      <c r="I111" s="5"/>
      <c r="J111" s="3" t="b">
        <v>0</v>
      </c>
      <c r="K111" s="3" t="b">
        <v>0</v>
      </c>
      <c r="L111" s="3" t="b">
        <v>0</v>
      </c>
      <c r="M111" s="3" t="b">
        <v>0</v>
      </c>
      <c r="N111" s="3" t="b">
        <v>0</v>
      </c>
      <c r="O111" s="3" t="b">
        <v>0</v>
      </c>
      <c r="P111" s="3" t="b">
        <v>0</v>
      </c>
      <c r="Q111" s="3" t="b">
        <v>0</v>
      </c>
    </row>
    <row r="112" spans="3:17" x14ac:dyDescent="0.25">
      <c r="C112" s="6"/>
      <c r="I112" s="5"/>
      <c r="J112" s="3" t="b">
        <v>0</v>
      </c>
      <c r="K112" s="3" t="b">
        <v>0</v>
      </c>
      <c r="L112" s="3" t="b">
        <v>0</v>
      </c>
      <c r="M112" s="3" t="b">
        <v>0</v>
      </c>
      <c r="N112" s="3" t="b">
        <v>0</v>
      </c>
      <c r="O112" s="3" t="b">
        <v>0</v>
      </c>
      <c r="P112" s="3" t="b">
        <v>0</v>
      </c>
      <c r="Q112" s="3" t="b">
        <v>0</v>
      </c>
    </row>
    <row r="113" spans="3:17" x14ac:dyDescent="0.25">
      <c r="C113" s="6"/>
      <c r="I113" s="5"/>
      <c r="J113" s="3" t="b">
        <v>0</v>
      </c>
      <c r="K113" s="3" t="b">
        <v>0</v>
      </c>
      <c r="L113" s="3" t="b">
        <v>0</v>
      </c>
      <c r="M113" s="3" t="b">
        <v>0</v>
      </c>
      <c r="N113" s="3" t="b">
        <v>0</v>
      </c>
      <c r="O113" s="3" t="b">
        <v>0</v>
      </c>
      <c r="P113" s="3" t="b">
        <v>0</v>
      </c>
      <c r="Q113" s="3" t="b">
        <v>0</v>
      </c>
    </row>
    <row r="114" spans="3:17" x14ac:dyDescent="0.25">
      <c r="C114" s="6"/>
      <c r="I114" s="5"/>
      <c r="J114" s="3" t="b">
        <v>0</v>
      </c>
      <c r="K114" s="3" t="b">
        <v>0</v>
      </c>
      <c r="L114" s="3" t="b">
        <v>0</v>
      </c>
      <c r="M114" s="3" t="b">
        <v>0</v>
      </c>
      <c r="N114" s="3" t="b">
        <v>0</v>
      </c>
      <c r="O114" s="3" t="b">
        <v>0</v>
      </c>
      <c r="P114" s="3" t="b">
        <v>0</v>
      </c>
      <c r="Q114" s="3" t="b">
        <v>0</v>
      </c>
    </row>
    <row r="115" spans="3:17" ht="14.4" x14ac:dyDescent="0.25">
      <c r="C115" s="6"/>
      <c r="D115" s="8"/>
      <c r="I115" s="5"/>
      <c r="J115" s="3" t="b">
        <v>0</v>
      </c>
      <c r="K115" s="3" t="b">
        <v>0</v>
      </c>
      <c r="L115" s="3" t="b">
        <v>0</v>
      </c>
      <c r="M115" s="3" t="b">
        <v>0</v>
      </c>
      <c r="N115" s="3" t="b">
        <v>0</v>
      </c>
      <c r="O115" s="3" t="b">
        <v>0</v>
      </c>
      <c r="P115" s="3" t="b">
        <v>0</v>
      </c>
      <c r="Q115" s="3" t="b">
        <v>0</v>
      </c>
    </row>
    <row r="116" spans="3:17" x14ac:dyDescent="0.25">
      <c r="C116" s="6"/>
      <c r="I116" s="5"/>
      <c r="J116" s="3" t="b">
        <v>0</v>
      </c>
      <c r="K116" s="3" t="b">
        <v>0</v>
      </c>
      <c r="L116" s="3" t="b">
        <v>0</v>
      </c>
      <c r="M116" s="3" t="b">
        <v>0</v>
      </c>
      <c r="N116" s="3" t="b">
        <v>0</v>
      </c>
      <c r="O116" s="3" t="b">
        <v>0</v>
      </c>
      <c r="P116" s="3" t="b">
        <v>0</v>
      </c>
      <c r="Q116" s="3" t="b">
        <v>0</v>
      </c>
    </row>
    <row r="117" spans="3:17" x14ac:dyDescent="0.25">
      <c r="C117" s="6"/>
      <c r="I117" s="5"/>
      <c r="J117" s="3" t="b">
        <v>0</v>
      </c>
      <c r="K117" s="3" t="b">
        <v>0</v>
      </c>
      <c r="L117" s="3" t="b">
        <v>0</v>
      </c>
      <c r="M117" s="3" t="b">
        <v>0</v>
      </c>
      <c r="N117" s="3" t="b">
        <v>0</v>
      </c>
      <c r="O117" s="3" t="b">
        <v>0</v>
      </c>
      <c r="P117" s="3" t="b">
        <v>0</v>
      </c>
      <c r="Q117" s="3" t="b">
        <v>0</v>
      </c>
    </row>
    <row r="118" spans="3:17" x14ac:dyDescent="0.25">
      <c r="C118" s="6"/>
      <c r="I118" s="5"/>
      <c r="J118" s="3" t="b">
        <v>0</v>
      </c>
      <c r="K118" s="3" t="b">
        <v>0</v>
      </c>
      <c r="L118" s="3" t="b">
        <v>0</v>
      </c>
      <c r="M118" s="3" t="b">
        <v>0</v>
      </c>
      <c r="N118" s="3" t="b">
        <v>0</v>
      </c>
      <c r="O118" s="3" t="b">
        <v>0</v>
      </c>
      <c r="P118" s="3" t="b">
        <v>0</v>
      </c>
      <c r="Q118" s="3" t="b">
        <v>0</v>
      </c>
    </row>
    <row r="119" spans="3:17" x14ac:dyDescent="0.25">
      <c r="C119" s="6"/>
      <c r="I119" s="5"/>
      <c r="J119" s="3" t="b">
        <v>0</v>
      </c>
      <c r="K119" s="3" t="b">
        <v>0</v>
      </c>
      <c r="L119" s="3" t="b">
        <v>0</v>
      </c>
      <c r="M119" s="3" t="b">
        <v>0</v>
      </c>
      <c r="N119" s="3" t="b">
        <v>0</v>
      </c>
      <c r="O119" s="3" t="b">
        <v>0</v>
      </c>
      <c r="P119" s="3" t="b">
        <v>0</v>
      </c>
      <c r="Q119" s="3" t="b">
        <v>0</v>
      </c>
    </row>
    <row r="120" spans="3:17" x14ac:dyDescent="0.25">
      <c r="C120" s="6"/>
      <c r="I120" s="5"/>
      <c r="J120" s="3" t="b">
        <v>0</v>
      </c>
      <c r="K120" s="3" t="b">
        <v>0</v>
      </c>
      <c r="L120" s="3" t="b">
        <v>0</v>
      </c>
      <c r="M120" s="3" t="b">
        <v>0</v>
      </c>
      <c r="N120" s="3" t="b">
        <v>0</v>
      </c>
      <c r="O120" s="3" t="b">
        <v>0</v>
      </c>
      <c r="P120" s="3" t="b">
        <v>0</v>
      </c>
      <c r="Q120" s="3" t="b">
        <v>0</v>
      </c>
    </row>
    <row r="121" spans="3:17" x14ac:dyDescent="0.25">
      <c r="C121" s="6"/>
      <c r="I121" s="5"/>
      <c r="J121" s="3" t="b">
        <v>0</v>
      </c>
      <c r="K121" s="3" t="b">
        <v>0</v>
      </c>
      <c r="L121" s="3" t="b">
        <v>0</v>
      </c>
      <c r="M121" s="3" t="b">
        <v>0</v>
      </c>
      <c r="N121" s="3" t="b">
        <v>0</v>
      </c>
      <c r="O121" s="3" t="b">
        <v>0</v>
      </c>
      <c r="P121" s="3" t="b">
        <v>0</v>
      </c>
      <c r="Q121" s="3" t="b">
        <v>0</v>
      </c>
    </row>
    <row r="122" spans="3:17" x14ac:dyDescent="0.25">
      <c r="C122" s="6"/>
      <c r="I122" s="5"/>
      <c r="J122" s="3" t="b">
        <v>0</v>
      </c>
      <c r="K122" s="3" t="b">
        <v>0</v>
      </c>
      <c r="L122" s="3" t="b">
        <v>0</v>
      </c>
      <c r="M122" s="3" t="b">
        <v>0</v>
      </c>
      <c r="N122" s="3" t="b">
        <v>0</v>
      </c>
      <c r="O122" s="3" t="b">
        <v>0</v>
      </c>
      <c r="P122" s="3" t="b">
        <v>0</v>
      </c>
      <c r="Q122" s="3" t="b">
        <v>0</v>
      </c>
    </row>
    <row r="123" spans="3:17" x14ac:dyDescent="0.25">
      <c r="C123" s="6"/>
      <c r="I123" s="5"/>
      <c r="J123" s="3" t="b">
        <v>0</v>
      </c>
      <c r="K123" s="3" t="b">
        <v>0</v>
      </c>
      <c r="L123" s="3" t="b">
        <v>0</v>
      </c>
      <c r="M123" s="3" t="b">
        <v>0</v>
      </c>
      <c r="N123" s="3" t="b">
        <v>0</v>
      </c>
      <c r="O123" s="3" t="b">
        <v>0</v>
      </c>
      <c r="P123" s="3" t="b">
        <v>0</v>
      </c>
      <c r="Q123" s="3" t="b">
        <v>0</v>
      </c>
    </row>
    <row r="124" spans="3:17" x14ac:dyDescent="0.25">
      <c r="C124" s="6"/>
      <c r="I124" s="5"/>
      <c r="J124" s="3" t="b">
        <v>0</v>
      </c>
      <c r="K124" s="3" t="b">
        <v>0</v>
      </c>
      <c r="L124" s="3" t="b">
        <v>0</v>
      </c>
      <c r="M124" s="3" t="b">
        <v>0</v>
      </c>
      <c r="N124" s="3" t="b">
        <v>0</v>
      </c>
      <c r="O124" s="3" t="b">
        <v>0</v>
      </c>
      <c r="P124" s="3" t="b">
        <v>0</v>
      </c>
      <c r="Q124" s="3" t="b">
        <v>0</v>
      </c>
    </row>
    <row r="125" spans="3:17" x14ac:dyDescent="0.25">
      <c r="C125" s="6"/>
      <c r="I125" s="5"/>
      <c r="J125" s="3" t="b">
        <v>0</v>
      </c>
      <c r="K125" s="3" t="b">
        <v>0</v>
      </c>
      <c r="L125" s="3" t="b">
        <v>0</v>
      </c>
      <c r="M125" s="3" t="b">
        <v>0</v>
      </c>
      <c r="N125" s="3" t="b">
        <v>0</v>
      </c>
      <c r="O125" s="3" t="b">
        <v>0</v>
      </c>
      <c r="P125" s="3" t="b">
        <v>0</v>
      </c>
      <c r="Q125" s="3" t="b">
        <v>0</v>
      </c>
    </row>
    <row r="126" spans="3:17" x14ac:dyDescent="0.25">
      <c r="C126" s="6"/>
      <c r="I126" s="5"/>
      <c r="J126" s="3" t="b">
        <v>0</v>
      </c>
      <c r="K126" s="3" t="b">
        <v>0</v>
      </c>
      <c r="L126" s="3" t="b">
        <v>0</v>
      </c>
      <c r="M126" s="3" t="b">
        <v>0</v>
      </c>
      <c r="N126" s="3" t="b">
        <v>0</v>
      </c>
      <c r="O126" s="3" t="b">
        <v>0</v>
      </c>
      <c r="P126" s="3" t="b">
        <v>0</v>
      </c>
      <c r="Q126" s="3" t="b">
        <v>0</v>
      </c>
    </row>
    <row r="127" spans="3:17" x14ac:dyDescent="0.25">
      <c r="C127" s="6"/>
      <c r="I127" s="5"/>
      <c r="J127" s="3" t="b">
        <v>0</v>
      </c>
      <c r="K127" s="3" t="b">
        <v>0</v>
      </c>
      <c r="L127" s="3" t="b">
        <v>0</v>
      </c>
      <c r="M127" s="3" t="b">
        <v>0</v>
      </c>
      <c r="N127" s="3" t="b">
        <v>0</v>
      </c>
      <c r="O127" s="3" t="b">
        <v>0</v>
      </c>
      <c r="P127" s="3" t="b">
        <v>0</v>
      </c>
      <c r="Q127" s="3" t="b">
        <v>0</v>
      </c>
    </row>
    <row r="128" spans="3:17" x14ac:dyDescent="0.25">
      <c r="C128" s="6"/>
      <c r="I128" s="5"/>
      <c r="J128" s="3" t="b">
        <v>0</v>
      </c>
      <c r="K128" s="3" t="b">
        <v>0</v>
      </c>
      <c r="L128" s="3" t="b">
        <v>0</v>
      </c>
      <c r="M128" s="3" t="b">
        <v>0</v>
      </c>
      <c r="N128" s="3" t="b">
        <v>0</v>
      </c>
      <c r="O128" s="3" t="b">
        <v>0</v>
      </c>
      <c r="P128" s="3" t="b">
        <v>0</v>
      </c>
      <c r="Q128" s="3" t="b">
        <v>0</v>
      </c>
    </row>
    <row r="129" spans="3:17" x14ac:dyDescent="0.25">
      <c r="C129" s="6"/>
      <c r="I129" s="5"/>
      <c r="J129" s="3" t="b">
        <v>0</v>
      </c>
      <c r="K129" s="3" t="b">
        <v>0</v>
      </c>
      <c r="L129" s="3" t="b">
        <v>0</v>
      </c>
      <c r="M129" s="3" t="b">
        <v>0</v>
      </c>
      <c r="N129" s="3" t="b">
        <v>0</v>
      </c>
      <c r="O129" s="3" t="b">
        <v>0</v>
      </c>
      <c r="P129" s="3" t="b">
        <v>0</v>
      </c>
      <c r="Q129" s="3" t="b">
        <v>0</v>
      </c>
    </row>
    <row r="130" spans="3:17" x14ac:dyDescent="0.25">
      <c r="C130" s="6"/>
      <c r="I130" s="5"/>
      <c r="J130" s="3" t="b">
        <v>0</v>
      </c>
      <c r="K130" s="3" t="b">
        <v>0</v>
      </c>
      <c r="L130" s="3" t="b">
        <v>0</v>
      </c>
      <c r="M130" s="3" t="b">
        <v>0</v>
      </c>
      <c r="N130" s="3" t="b">
        <v>0</v>
      </c>
      <c r="O130" s="3" t="b">
        <v>0</v>
      </c>
      <c r="P130" s="3" t="b">
        <v>0</v>
      </c>
      <c r="Q130" s="3" t="b">
        <v>0</v>
      </c>
    </row>
    <row r="131" spans="3:17" x14ac:dyDescent="0.25">
      <c r="C131" s="6"/>
      <c r="I131" s="5"/>
      <c r="J131" s="3" t="b">
        <v>0</v>
      </c>
      <c r="K131" s="3" t="b">
        <v>0</v>
      </c>
      <c r="L131" s="3" t="b">
        <v>0</v>
      </c>
      <c r="M131" s="3" t="b">
        <v>0</v>
      </c>
      <c r="N131" s="3" t="b">
        <v>0</v>
      </c>
      <c r="O131" s="3" t="b">
        <v>0</v>
      </c>
      <c r="P131" s="3" t="b">
        <v>0</v>
      </c>
      <c r="Q131" s="3" t="b">
        <v>0</v>
      </c>
    </row>
    <row r="132" spans="3:17" x14ac:dyDescent="0.25">
      <c r="C132" s="6"/>
      <c r="I132" s="5"/>
      <c r="J132" s="3" t="b">
        <v>0</v>
      </c>
      <c r="K132" s="3" t="b">
        <v>0</v>
      </c>
      <c r="L132" s="3" t="b">
        <v>0</v>
      </c>
      <c r="M132" s="3" t="b">
        <v>0</v>
      </c>
      <c r="N132" s="3" t="b">
        <v>0</v>
      </c>
      <c r="O132" s="3" t="b">
        <v>0</v>
      </c>
      <c r="P132" s="3" t="b">
        <v>0</v>
      </c>
      <c r="Q132" s="3" t="b">
        <v>0</v>
      </c>
    </row>
    <row r="133" spans="3:17" x14ac:dyDescent="0.25">
      <c r="C133" s="6"/>
      <c r="I133" s="5"/>
      <c r="J133" s="3" t="b">
        <v>0</v>
      </c>
      <c r="K133" s="3" t="b">
        <v>0</v>
      </c>
      <c r="L133" s="3" t="b">
        <v>0</v>
      </c>
      <c r="M133" s="3" t="b">
        <v>0</v>
      </c>
      <c r="N133" s="3" t="b">
        <v>0</v>
      </c>
      <c r="O133" s="3" t="b">
        <v>0</v>
      </c>
      <c r="P133" s="3" t="b">
        <v>0</v>
      </c>
      <c r="Q133" s="3" t="b">
        <v>0</v>
      </c>
    </row>
    <row r="134" spans="3:17" x14ac:dyDescent="0.25">
      <c r="C134" s="6"/>
      <c r="I134" s="5"/>
      <c r="J134" s="3" t="b">
        <v>0</v>
      </c>
      <c r="K134" s="3" t="b">
        <v>0</v>
      </c>
      <c r="L134" s="3" t="b">
        <v>0</v>
      </c>
      <c r="M134" s="3" t="b">
        <v>0</v>
      </c>
      <c r="N134" s="3" t="b">
        <v>0</v>
      </c>
      <c r="O134" s="3" t="b">
        <v>0</v>
      </c>
      <c r="P134" s="3" t="b">
        <v>0</v>
      </c>
      <c r="Q134" s="3" t="b">
        <v>0</v>
      </c>
    </row>
    <row r="135" spans="3:17" x14ac:dyDescent="0.25">
      <c r="C135" s="6"/>
      <c r="I135" s="5"/>
      <c r="J135" s="3" t="b">
        <v>0</v>
      </c>
      <c r="K135" s="3" t="b">
        <v>0</v>
      </c>
      <c r="L135" s="3" t="b">
        <v>0</v>
      </c>
      <c r="M135" s="3" t="b">
        <v>0</v>
      </c>
      <c r="N135" s="3" t="b">
        <v>0</v>
      </c>
      <c r="O135" s="3" t="b">
        <v>0</v>
      </c>
      <c r="P135" s="3" t="b">
        <v>0</v>
      </c>
      <c r="Q135" s="3" t="b">
        <v>0</v>
      </c>
    </row>
    <row r="136" spans="3:17" x14ac:dyDescent="0.25">
      <c r="C136" s="6"/>
      <c r="I136" s="5"/>
      <c r="J136" s="3" t="b">
        <v>0</v>
      </c>
      <c r="K136" s="3" t="b">
        <v>0</v>
      </c>
      <c r="L136" s="3" t="b">
        <v>0</v>
      </c>
      <c r="M136" s="3" t="b">
        <v>0</v>
      </c>
      <c r="N136" s="3" t="b">
        <v>0</v>
      </c>
      <c r="O136" s="3" t="b">
        <v>0</v>
      </c>
      <c r="P136" s="3" t="b">
        <v>0</v>
      </c>
      <c r="Q136" s="3" t="b">
        <v>0</v>
      </c>
    </row>
    <row r="137" spans="3:17" x14ac:dyDescent="0.25">
      <c r="C137" s="6"/>
      <c r="I137" s="5"/>
      <c r="J137" s="3" t="b">
        <v>0</v>
      </c>
      <c r="K137" s="3" t="b">
        <v>0</v>
      </c>
      <c r="L137" s="3" t="b">
        <v>0</v>
      </c>
      <c r="M137" s="3" t="b">
        <v>0</v>
      </c>
      <c r="N137" s="3" t="b">
        <v>0</v>
      </c>
      <c r="O137" s="3" t="b">
        <v>0</v>
      </c>
      <c r="P137" s="3" t="b">
        <v>0</v>
      </c>
      <c r="Q137" s="3" t="b">
        <v>0</v>
      </c>
    </row>
    <row r="138" spans="3:17" x14ac:dyDescent="0.25">
      <c r="C138" s="6"/>
      <c r="I138" s="5"/>
      <c r="J138" s="3" t="b">
        <v>0</v>
      </c>
      <c r="K138" s="3" t="b">
        <v>0</v>
      </c>
      <c r="L138" s="3" t="b">
        <v>0</v>
      </c>
      <c r="M138" s="3" t="b">
        <v>0</v>
      </c>
      <c r="N138" s="3" t="b">
        <v>0</v>
      </c>
      <c r="O138" s="3" t="b">
        <v>0</v>
      </c>
      <c r="P138" s="3" t="b">
        <v>0</v>
      </c>
      <c r="Q138" s="3" t="b">
        <v>0</v>
      </c>
    </row>
    <row r="139" spans="3:17" x14ac:dyDescent="0.25">
      <c r="C139" s="6"/>
      <c r="I139" s="5"/>
      <c r="J139" s="3" t="b">
        <v>0</v>
      </c>
      <c r="K139" s="3" t="b">
        <v>0</v>
      </c>
      <c r="L139" s="3" t="b">
        <v>0</v>
      </c>
      <c r="M139" s="3" t="b">
        <v>0</v>
      </c>
      <c r="N139" s="3" t="b">
        <v>0</v>
      </c>
      <c r="O139" s="3" t="b">
        <v>0</v>
      </c>
      <c r="P139" s="3" t="b">
        <v>0</v>
      </c>
      <c r="Q139" s="3" t="b">
        <v>0</v>
      </c>
    </row>
    <row r="140" spans="3:17" x14ac:dyDescent="0.25">
      <c r="C140" s="6"/>
      <c r="I140" s="5"/>
      <c r="J140" s="3" t="b">
        <v>0</v>
      </c>
      <c r="K140" s="3" t="b">
        <v>0</v>
      </c>
      <c r="L140" s="3" t="b">
        <v>0</v>
      </c>
      <c r="M140" s="3" t="b">
        <v>0</v>
      </c>
      <c r="N140" s="3" t="b">
        <v>0</v>
      </c>
      <c r="O140" s="3" t="b">
        <v>0</v>
      </c>
      <c r="P140" s="3" t="b">
        <v>0</v>
      </c>
      <c r="Q140" s="3" t="b">
        <v>0</v>
      </c>
    </row>
    <row r="141" spans="3:17" x14ac:dyDescent="0.25">
      <c r="C141" s="6"/>
      <c r="I141" s="5"/>
      <c r="J141" s="3" t="b">
        <v>0</v>
      </c>
      <c r="K141" s="3" t="b">
        <v>0</v>
      </c>
      <c r="L141" s="3" t="b">
        <v>0</v>
      </c>
      <c r="M141" s="3" t="b">
        <v>0</v>
      </c>
      <c r="N141" s="3" t="b">
        <v>0</v>
      </c>
      <c r="O141" s="3" t="b">
        <v>0</v>
      </c>
      <c r="P141" s="3" t="b">
        <v>0</v>
      </c>
      <c r="Q141" s="3" t="b">
        <v>0</v>
      </c>
    </row>
    <row r="142" spans="3:17" x14ac:dyDescent="0.25">
      <c r="C142" s="6"/>
      <c r="I142" s="5"/>
      <c r="J142" s="3" t="b">
        <v>0</v>
      </c>
      <c r="K142" s="3" t="b">
        <v>0</v>
      </c>
      <c r="L142" s="3" t="b">
        <v>0</v>
      </c>
      <c r="M142" s="3" t="b">
        <v>0</v>
      </c>
      <c r="N142" s="3" t="b">
        <v>0</v>
      </c>
      <c r="O142" s="3" t="b">
        <v>0</v>
      </c>
      <c r="P142" s="3" t="b">
        <v>0</v>
      </c>
      <c r="Q142" s="3" t="b">
        <v>0</v>
      </c>
    </row>
    <row r="143" spans="3:17" x14ac:dyDescent="0.25">
      <c r="C143" s="6"/>
      <c r="I143" s="5"/>
      <c r="J143" s="3" t="b">
        <v>0</v>
      </c>
      <c r="K143" s="3" t="b">
        <v>0</v>
      </c>
      <c r="L143" s="3" t="b">
        <v>0</v>
      </c>
      <c r="M143" s="3" t="b">
        <v>0</v>
      </c>
      <c r="N143" s="3" t="b">
        <v>0</v>
      </c>
      <c r="O143" s="3" t="b">
        <v>0</v>
      </c>
      <c r="P143" s="3" t="b">
        <v>0</v>
      </c>
      <c r="Q143" s="3" t="b">
        <v>0</v>
      </c>
    </row>
    <row r="144" spans="3:17" x14ac:dyDescent="0.25">
      <c r="C144" s="6"/>
      <c r="I144" s="5"/>
      <c r="J144" s="3" t="b">
        <v>0</v>
      </c>
      <c r="K144" s="3" t="b">
        <v>0</v>
      </c>
      <c r="L144" s="3" t="b">
        <v>0</v>
      </c>
      <c r="M144" s="3" t="b">
        <v>0</v>
      </c>
      <c r="N144" s="3" t="b">
        <v>0</v>
      </c>
      <c r="O144" s="3" t="b">
        <v>0</v>
      </c>
      <c r="P144" s="3" t="b">
        <v>0</v>
      </c>
      <c r="Q144" s="3" t="b">
        <v>0</v>
      </c>
    </row>
    <row r="145" spans="3:17" x14ac:dyDescent="0.25">
      <c r="C145" s="6"/>
      <c r="I145" s="5"/>
      <c r="J145" s="3" t="b">
        <v>0</v>
      </c>
      <c r="K145" s="3" t="b">
        <v>0</v>
      </c>
      <c r="L145" s="3" t="b">
        <v>0</v>
      </c>
      <c r="M145" s="3" t="b">
        <v>0</v>
      </c>
      <c r="N145" s="3" t="b">
        <v>0</v>
      </c>
      <c r="O145" s="3" t="b">
        <v>0</v>
      </c>
      <c r="P145" s="3" t="b">
        <v>0</v>
      </c>
      <c r="Q145" s="3" t="b">
        <v>0</v>
      </c>
    </row>
    <row r="146" spans="3:17" x14ac:dyDescent="0.25">
      <c r="C146" s="6"/>
      <c r="I146" s="5"/>
      <c r="J146" s="3" t="b">
        <v>0</v>
      </c>
      <c r="K146" s="3" t="b">
        <v>0</v>
      </c>
      <c r="L146" s="3" t="b">
        <v>0</v>
      </c>
      <c r="M146" s="3" t="b">
        <v>0</v>
      </c>
      <c r="N146" s="3" t="b">
        <v>0</v>
      </c>
      <c r="O146" s="3" t="b">
        <v>0</v>
      </c>
      <c r="P146" s="3" t="b">
        <v>0</v>
      </c>
      <c r="Q146" s="3" t="b">
        <v>0</v>
      </c>
    </row>
    <row r="147" spans="3:17" x14ac:dyDescent="0.25">
      <c r="C147" s="6"/>
      <c r="I147" s="5"/>
      <c r="J147" s="3" t="b">
        <v>0</v>
      </c>
      <c r="K147" s="3" t="b">
        <v>0</v>
      </c>
      <c r="L147" s="3" t="b">
        <v>0</v>
      </c>
      <c r="M147" s="3" t="b">
        <v>0</v>
      </c>
      <c r="N147" s="3" t="b">
        <v>0</v>
      </c>
      <c r="O147" s="3" t="b">
        <v>0</v>
      </c>
      <c r="P147" s="3" t="b">
        <v>0</v>
      </c>
      <c r="Q147" s="3" t="b">
        <v>0</v>
      </c>
    </row>
    <row r="148" spans="3:17" x14ac:dyDescent="0.25">
      <c r="C148" s="6"/>
      <c r="I148" s="5"/>
      <c r="J148" s="3" t="b">
        <v>0</v>
      </c>
      <c r="K148" s="3" t="b">
        <v>0</v>
      </c>
      <c r="L148" s="3" t="b">
        <v>0</v>
      </c>
      <c r="M148" s="3" t="b">
        <v>0</v>
      </c>
      <c r="N148" s="3" t="b">
        <v>0</v>
      </c>
      <c r="O148" s="3" t="b">
        <v>0</v>
      </c>
      <c r="P148" s="3" t="b">
        <v>0</v>
      </c>
      <c r="Q148" s="3" t="b">
        <v>0</v>
      </c>
    </row>
    <row r="149" spans="3:17" x14ac:dyDescent="0.25">
      <c r="C149" s="6"/>
      <c r="I149" s="5"/>
      <c r="J149" s="3" t="b">
        <v>0</v>
      </c>
      <c r="K149" s="3" t="b">
        <v>0</v>
      </c>
      <c r="L149" s="3" t="b">
        <v>0</v>
      </c>
      <c r="M149" s="3" t="b">
        <v>0</v>
      </c>
      <c r="N149" s="3" t="b">
        <v>0</v>
      </c>
      <c r="O149" s="3" t="b">
        <v>0</v>
      </c>
      <c r="P149" s="3" t="b">
        <v>0</v>
      </c>
      <c r="Q149" s="3" t="b">
        <v>0</v>
      </c>
    </row>
    <row r="150" spans="3:17" x14ac:dyDescent="0.25">
      <c r="C150" s="6"/>
      <c r="I150" s="5"/>
      <c r="J150" s="3" t="b">
        <v>0</v>
      </c>
      <c r="K150" s="3" t="b">
        <v>0</v>
      </c>
      <c r="L150" s="3" t="b">
        <v>0</v>
      </c>
      <c r="M150" s="3" t="b">
        <v>0</v>
      </c>
      <c r="N150" s="3" t="b">
        <v>0</v>
      </c>
      <c r="O150" s="3" t="b">
        <v>0</v>
      </c>
      <c r="P150" s="3" t="b">
        <v>0</v>
      </c>
      <c r="Q150" s="3" t="b">
        <v>0</v>
      </c>
    </row>
    <row r="151" spans="3:17" x14ac:dyDescent="0.25">
      <c r="C151" s="6"/>
      <c r="I151" s="5"/>
      <c r="J151" s="3" t="b">
        <v>0</v>
      </c>
      <c r="K151" s="3" t="b">
        <v>0</v>
      </c>
      <c r="L151" s="3" t="b">
        <v>0</v>
      </c>
      <c r="M151" s="3" t="b">
        <v>0</v>
      </c>
      <c r="N151" s="3" t="b">
        <v>0</v>
      </c>
      <c r="O151" s="3" t="b">
        <v>0</v>
      </c>
      <c r="P151" s="3" t="b">
        <v>0</v>
      </c>
      <c r="Q151" s="3" t="b">
        <v>0</v>
      </c>
    </row>
    <row r="152" spans="3:17" x14ac:dyDescent="0.25">
      <c r="C152" s="6"/>
      <c r="I152" s="5"/>
      <c r="J152" s="3" t="b">
        <v>0</v>
      </c>
      <c r="K152" s="3" t="b">
        <v>0</v>
      </c>
      <c r="L152" s="3" t="b">
        <v>0</v>
      </c>
      <c r="M152" s="3" t="b">
        <v>0</v>
      </c>
      <c r="N152" s="3" t="b">
        <v>0</v>
      </c>
      <c r="O152" s="3" t="b">
        <v>0</v>
      </c>
      <c r="P152" s="3" t="b">
        <v>0</v>
      </c>
      <c r="Q152" s="3" t="b">
        <v>0</v>
      </c>
    </row>
    <row r="153" spans="3:17" x14ac:dyDescent="0.25">
      <c r="C153" s="6"/>
      <c r="I153" s="5"/>
      <c r="J153" s="3" t="b">
        <v>0</v>
      </c>
      <c r="K153" s="3" t="b">
        <v>0</v>
      </c>
      <c r="L153" s="3" t="b">
        <v>0</v>
      </c>
      <c r="M153" s="3" t="b">
        <v>0</v>
      </c>
      <c r="N153" s="3" t="b">
        <v>0</v>
      </c>
      <c r="O153" s="3" t="b">
        <v>0</v>
      </c>
      <c r="P153" s="3" t="b">
        <v>0</v>
      </c>
      <c r="Q153" s="3" t="b">
        <v>0</v>
      </c>
    </row>
    <row r="154" spans="3:17" x14ac:dyDescent="0.25">
      <c r="C154" s="6"/>
      <c r="I154" s="5"/>
      <c r="J154" s="3" t="b">
        <v>0</v>
      </c>
      <c r="K154" s="3" t="b">
        <v>0</v>
      </c>
      <c r="L154" s="3" t="b">
        <v>0</v>
      </c>
      <c r="M154" s="3" t="b">
        <v>0</v>
      </c>
      <c r="N154" s="3" t="b">
        <v>0</v>
      </c>
      <c r="O154" s="3" t="b">
        <v>0</v>
      </c>
      <c r="P154" s="3" t="b">
        <v>0</v>
      </c>
      <c r="Q154" s="3" t="b">
        <v>0</v>
      </c>
    </row>
    <row r="155" spans="3:17" x14ac:dyDescent="0.25">
      <c r="C155" s="6"/>
      <c r="I155" s="5"/>
      <c r="J155" s="3" t="b">
        <v>0</v>
      </c>
      <c r="K155" s="3" t="b">
        <v>0</v>
      </c>
      <c r="L155" s="3" t="b">
        <v>0</v>
      </c>
      <c r="M155" s="3" t="b">
        <v>0</v>
      </c>
      <c r="N155" s="3" t="b">
        <v>0</v>
      </c>
      <c r="O155" s="3" t="b">
        <v>0</v>
      </c>
      <c r="P155" s="3" t="b">
        <v>0</v>
      </c>
      <c r="Q155" s="3" t="b">
        <v>0</v>
      </c>
    </row>
    <row r="156" spans="3:17" x14ac:dyDescent="0.25">
      <c r="C156" s="6"/>
      <c r="I156" s="5"/>
      <c r="J156" s="3" t="b">
        <v>0</v>
      </c>
      <c r="K156" s="3" t="b">
        <v>0</v>
      </c>
      <c r="L156" s="3" t="b">
        <v>0</v>
      </c>
      <c r="M156" s="3" t="b">
        <v>0</v>
      </c>
      <c r="N156" s="3" t="b">
        <v>0</v>
      </c>
      <c r="O156" s="3" t="b">
        <v>0</v>
      </c>
      <c r="P156" s="3" t="b">
        <v>0</v>
      </c>
      <c r="Q156" s="3" t="b">
        <v>0</v>
      </c>
    </row>
    <row r="157" spans="3:17" x14ac:dyDescent="0.25">
      <c r="C157" s="6"/>
      <c r="I157" s="5"/>
      <c r="J157" s="3" t="b">
        <v>0</v>
      </c>
      <c r="K157" s="3" t="b">
        <v>0</v>
      </c>
      <c r="L157" s="3" t="b">
        <v>0</v>
      </c>
      <c r="M157" s="3" t="b">
        <v>0</v>
      </c>
      <c r="N157" s="3" t="b">
        <v>0</v>
      </c>
      <c r="O157" s="3" t="b">
        <v>0</v>
      </c>
      <c r="P157" s="3" t="b">
        <v>0</v>
      </c>
      <c r="Q157" s="3" t="b">
        <v>0</v>
      </c>
    </row>
    <row r="158" spans="3:17" x14ac:dyDescent="0.25">
      <c r="C158" s="6"/>
      <c r="I158" s="5"/>
      <c r="J158" s="3" t="b">
        <v>0</v>
      </c>
      <c r="K158" s="3" t="b">
        <v>0</v>
      </c>
      <c r="L158" s="3" t="b">
        <v>0</v>
      </c>
      <c r="M158" s="3" t="b">
        <v>0</v>
      </c>
      <c r="N158" s="3" t="b">
        <v>0</v>
      </c>
      <c r="O158" s="3" t="b">
        <v>0</v>
      </c>
      <c r="P158" s="3" t="b">
        <v>0</v>
      </c>
      <c r="Q158" s="3" t="b">
        <v>0</v>
      </c>
    </row>
    <row r="159" spans="3:17" x14ac:dyDescent="0.25">
      <c r="C159" s="6"/>
      <c r="I159" s="5"/>
      <c r="J159" s="3" t="b">
        <v>0</v>
      </c>
      <c r="K159" s="3" t="b">
        <v>0</v>
      </c>
      <c r="L159" s="3" t="b">
        <v>0</v>
      </c>
      <c r="M159" s="3" t="b">
        <v>0</v>
      </c>
      <c r="N159" s="3" t="b">
        <v>0</v>
      </c>
      <c r="O159" s="3" t="b">
        <v>0</v>
      </c>
      <c r="P159" s="3" t="b">
        <v>0</v>
      </c>
      <c r="Q159" s="3" t="b">
        <v>0</v>
      </c>
    </row>
    <row r="160" spans="3:17" x14ac:dyDescent="0.25">
      <c r="C160" s="6"/>
      <c r="I160" s="5"/>
      <c r="J160" s="3" t="b">
        <v>0</v>
      </c>
      <c r="K160" s="3" t="b">
        <v>0</v>
      </c>
      <c r="L160" s="3" t="b">
        <v>0</v>
      </c>
      <c r="M160" s="3" t="b">
        <v>0</v>
      </c>
      <c r="N160" s="3" t="b">
        <v>0</v>
      </c>
      <c r="O160" s="3" t="b">
        <v>0</v>
      </c>
      <c r="P160" s="3" t="b">
        <v>0</v>
      </c>
      <c r="Q160" s="3" t="b">
        <v>0</v>
      </c>
    </row>
    <row r="161" spans="3:17" x14ac:dyDescent="0.25">
      <c r="C161" s="6"/>
      <c r="I161" s="5"/>
      <c r="J161" s="3" t="b">
        <v>0</v>
      </c>
      <c r="K161" s="3" t="b">
        <v>0</v>
      </c>
      <c r="L161" s="3" t="b">
        <v>0</v>
      </c>
      <c r="M161" s="3" t="b">
        <v>0</v>
      </c>
      <c r="N161" s="3" t="b">
        <v>0</v>
      </c>
      <c r="O161" s="3" t="b">
        <v>0</v>
      </c>
      <c r="P161" s="3" t="b">
        <v>0</v>
      </c>
      <c r="Q161" s="3" t="b">
        <v>0</v>
      </c>
    </row>
    <row r="162" spans="3:17" x14ac:dyDescent="0.25">
      <c r="C162" s="6"/>
      <c r="I162" s="5"/>
      <c r="J162" s="3" t="b">
        <v>0</v>
      </c>
      <c r="K162" s="3" t="b">
        <v>0</v>
      </c>
      <c r="L162" s="3" t="b">
        <v>0</v>
      </c>
      <c r="M162" s="3" t="b">
        <v>0</v>
      </c>
      <c r="N162" s="3" t="b">
        <v>0</v>
      </c>
      <c r="O162" s="3" t="b">
        <v>0</v>
      </c>
      <c r="P162" s="3" t="b">
        <v>0</v>
      </c>
      <c r="Q162" s="3" t="b">
        <v>0</v>
      </c>
    </row>
    <row r="163" spans="3:17" x14ac:dyDescent="0.25">
      <c r="C163" s="6"/>
      <c r="I163" s="5"/>
      <c r="J163" s="3" t="b">
        <v>0</v>
      </c>
      <c r="K163" s="3" t="b">
        <v>0</v>
      </c>
      <c r="L163" s="3" t="b">
        <v>0</v>
      </c>
      <c r="M163" s="3" t="b">
        <v>0</v>
      </c>
      <c r="N163" s="3" t="b">
        <v>0</v>
      </c>
      <c r="O163" s="3" t="b">
        <v>0</v>
      </c>
      <c r="P163" s="3" t="b">
        <v>0</v>
      </c>
      <c r="Q163" s="3" t="b">
        <v>0</v>
      </c>
    </row>
    <row r="164" spans="3:17" x14ac:dyDescent="0.25">
      <c r="C164" s="6"/>
      <c r="I164" s="5"/>
      <c r="J164" s="3" t="b">
        <v>0</v>
      </c>
      <c r="K164" s="3" t="b">
        <v>0</v>
      </c>
      <c r="L164" s="3" t="b">
        <v>0</v>
      </c>
      <c r="M164" s="3" t="b">
        <v>0</v>
      </c>
      <c r="N164" s="3" t="b">
        <v>0</v>
      </c>
      <c r="O164" s="3" t="b">
        <v>0</v>
      </c>
      <c r="P164" s="3" t="b">
        <v>0</v>
      </c>
      <c r="Q164" s="3" t="b">
        <v>0</v>
      </c>
    </row>
    <row r="165" spans="3:17" x14ac:dyDescent="0.25">
      <c r="C165" s="6"/>
      <c r="I165" s="5"/>
      <c r="J165" s="3" t="b">
        <v>0</v>
      </c>
      <c r="K165" s="3" t="b">
        <v>0</v>
      </c>
      <c r="L165" s="3" t="b">
        <v>0</v>
      </c>
      <c r="M165" s="3" t="b">
        <v>0</v>
      </c>
      <c r="N165" s="3" t="b">
        <v>0</v>
      </c>
      <c r="O165" s="3" t="b">
        <v>0</v>
      </c>
      <c r="P165" s="3" t="b">
        <v>0</v>
      </c>
      <c r="Q165" s="3" t="b">
        <v>0</v>
      </c>
    </row>
    <row r="166" spans="3:17" x14ac:dyDescent="0.25">
      <c r="C166" s="6"/>
      <c r="I166" s="5"/>
      <c r="J166" s="3" t="b">
        <v>0</v>
      </c>
      <c r="K166" s="3" t="b">
        <v>0</v>
      </c>
      <c r="L166" s="3" t="b">
        <v>0</v>
      </c>
      <c r="M166" s="3" t="b">
        <v>0</v>
      </c>
      <c r="N166" s="3" t="b">
        <v>0</v>
      </c>
      <c r="O166" s="3" t="b">
        <v>0</v>
      </c>
      <c r="P166" s="3" t="b">
        <v>0</v>
      </c>
      <c r="Q166" s="3" t="b">
        <v>0</v>
      </c>
    </row>
    <row r="167" spans="3:17" x14ac:dyDescent="0.25">
      <c r="C167" s="6"/>
      <c r="I167" s="5"/>
      <c r="J167" s="3" t="b">
        <v>0</v>
      </c>
      <c r="K167" s="3" t="b">
        <v>0</v>
      </c>
      <c r="L167" s="3" t="b">
        <v>0</v>
      </c>
      <c r="M167" s="3" t="b">
        <v>0</v>
      </c>
      <c r="N167" s="3" t="b">
        <v>0</v>
      </c>
      <c r="O167" s="3" t="b">
        <v>0</v>
      </c>
      <c r="P167" s="3" t="b">
        <v>0</v>
      </c>
      <c r="Q167" s="3" t="b">
        <v>0</v>
      </c>
    </row>
    <row r="168" spans="3:17" x14ac:dyDescent="0.25">
      <c r="C168" s="6"/>
      <c r="I168" s="5"/>
      <c r="J168" s="3" t="b">
        <v>0</v>
      </c>
      <c r="K168" s="3" t="b">
        <v>0</v>
      </c>
      <c r="L168" s="3" t="b">
        <v>0</v>
      </c>
      <c r="M168" s="3" t="b">
        <v>0</v>
      </c>
      <c r="N168" s="3" t="b">
        <v>0</v>
      </c>
      <c r="O168" s="3" t="b">
        <v>0</v>
      </c>
      <c r="P168" s="3" t="b">
        <v>0</v>
      </c>
      <c r="Q168" s="3" t="b">
        <v>0</v>
      </c>
    </row>
    <row r="169" spans="3:17" x14ac:dyDescent="0.25">
      <c r="C169" s="6"/>
      <c r="I169" s="5"/>
      <c r="J169" s="3" t="b">
        <v>0</v>
      </c>
      <c r="K169" s="3" t="b">
        <v>0</v>
      </c>
      <c r="L169" s="3" t="b">
        <v>0</v>
      </c>
      <c r="M169" s="3" t="b">
        <v>0</v>
      </c>
      <c r="N169" s="3" t="b">
        <v>0</v>
      </c>
      <c r="O169" s="3" t="b">
        <v>0</v>
      </c>
      <c r="P169" s="3" t="b">
        <v>0</v>
      </c>
      <c r="Q169" s="3" t="b">
        <v>0</v>
      </c>
    </row>
    <row r="170" spans="3:17" x14ac:dyDescent="0.25">
      <c r="C170" s="6"/>
      <c r="I170" s="5"/>
      <c r="J170" s="3" t="b">
        <v>0</v>
      </c>
      <c r="K170" s="3" t="b">
        <v>0</v>
      </c>
      <c r="L170" s="3" t="b">
        <v>0</v>
      </c>
      <c r="M170" s="3" t="b">
        <v>0</v>
      </c>
      <c r="N170" s="3" t="b">
        <v>0</v>
      </c>
      <c r="O170" s="3" t="b">
        <v>0</v>
      </c>
      <c r="P170" s="3" t="b">
        <v>0</v>
      </c>
      <c r="Q170" s="3" t="b">
        <v>0</v>
      </c>
    </row>
    <row r="171" spans="3:17" x14ac:dyDescent="0.25">
      <c r="C171" s="6"/>
      <c r="I171" s="5"/>
      <c r="J171" s="3" t="b">
        <v>0</v>
      </c>
      <c r="K171" s="3" t="b">
        <v>0</v>
      </c>
      <c r="L171" s="3" t="b">
        <v>0</v>
      </c>
      <c r="M171" s="3" t="b">
        <v>0</v>
      </c>
      <c r="N171" s="3" t="b">
        <v>0</v>
      </c>
      <c r="O171" s="3" t="b">
        <v>0</v>
      </c>
      <c r="P171" s="3" t="b">
        <v>0</v>
      </c>
      <c r="Q171" s="3" t="b">
        <v>0</v>
      </c>
    </row>
    <row r="172" spans="3:17" x14ac:dyDescent="0.25">
      <c r="C172" s="6"/>
      <c r="I172" s="5"/>
      <c r="J172" s="3" t="b">
        <v>0</v>
      </c>
      <c r="K172" s="3" t="b">
        <v>0</v>
      </c>
      <c r="L172" s="3" t="b">
        <v>0</v>
      </c>
      <c r="M172" s="3" t="b">
        <v>0</v>
      </c>
      <c r="N172" s="3" t="b">
        <v>0</v>
      </c>
      <c r="O172" s="3" t="b">
        <v>0</v>
      </c>
      <c r="P172" s="3" t="b">
        <v>0</v>
      </c>
      <c r="Q172" s="3" t="b">
        <v>0</v>
      </c>
    </row>
    <row r="173" spans="3:17" x14ac:dyDescent="0.25">
      <c r="C173" s="6"/>
      <c r="I173" s="5"/>
      <c r="J173" s="3" t="b">
        <v>0</v>
      </c>
      <c r="K173" s="3" t="b">
        <v>0</v>
      </c>
      <c r="L173" s="3" t="b">
        <v>0</v>
      </c>
      <c r="M173" s="3" t="b">
        <v>0</v>
      </c>
      <c r="N173" s="3" t="b">
        <v>0</v>
      </c>
      <c r="O173" s="3" t="b">
        <v>0</v>
      </c>
      <c r="P173" s="3" t="b">
        <v>0</v>
      </c>
      <c r="Q173" s="3" t="b">
        <v>0</v>
      </c>
    </row>
    <row r="174" spans="3:17" x14ac:dyDescent="0.25">
      <c r="C174" s="6"/>
      <c r="I174" s="5"/>
      <c r="J174" s="3" t="b">
        <v>0</v>
      </c>
      <c r="K174" s="3" t="b">
        <v>0</v>
      </c>
      <c r="L174" s="3" t="b">
        <v>0</v>
      </c>
      <c r="M174" s="3" t="b">
        <v>0</v>
      </c>
      <c r="N174" s="3" t="b">
        <v>0</v>
      </c>
      <c r="O174" s="3" t="b">
        <v>0</v>
      </c>
      <c r="P174" s="3" t="b">
        <v>0</v>
      </c>
      <c r="Q174" s="3" t="b">
        <v>0</v>
      </c>
    </row>
    <row r="175" spans="3:17" x14ac:dyDescent="0.25">
      <c r="C175" s="6"/>
      <c r="I175" s="5"/>
      <c r="J175" s="3" t="b">
        <v>0</v>
      </c>
      <c r="K175" s="3" t="b">
        <v>0</v>
      </c>
      <c r="L175" s="3" t="b">
        <v>0</v>
      </c>
      <c r="M175" s="3" t="b">
        <v>0</v>
      </c>
      <c r="N175" s="3" t="b">
        <v>0</v>
      </c>
      <c r="O175" s="3" t="b">
        <v>0</v>
      </c>
      <c r="P175" s="3" t="b">
        <v>0</v>
      </c>
      <c r="Q175" s="3" t="b">
        <v>0</v>
      </c>
    </row>
    <row r="176" spans="3:17" x14ac:dyDescent="0.25">
      <c r="C176" s="6"/>
      <c r="I176" s="5"/>
      <c r="J176" s="3" t="b">
        <v>0</v>
      </c>
      <c r="K176" s="3" t="b">
        <v>0</v>
      </c>
      <c r="L176" s="3" t="b">
        <v>0</v>
      </c>
      <c r="M176" s="3" t="b">
        <v>0</v>
      </c>
      <c r="N176" s="3" t="b">
        <v>0</v>
      </c>
      <c r="O176" s="3" t="b">
        <v>0</v>
      </c>
      <c r="P176" s="3" t="b">
        <v>0</v>
      </c>
      <c r="Q176" s="3" t="b">
        <v>0</v>
      </c>
    </row>
    <row r="177" spans="3:17" x14ac:dyDescent="0.25">
      <c r="C177" s="6"/>
      <c r="I177" s="5"/>
      <c r="J177" s="3" t="b">
        <v>0</v>
      </c>
      <c r="K177" s="3" t="b">
        <v>0</v>
      </c>
      <c r="L177" s="3" t="b">
        <v>0</v>
      </c>
      <c r="M177" s="3" t="b">
        <v>0</v>
      </c>
      <c r="N177" s="3" t="b">
        <v>0</v>
      </c>
      <c r="O177" s="3" t="b">
        <v>0</v>
      </c>
      <c r="P177" s="3" t="b">
        <v>0</v>
      </c>
      <c r="Q177" s="3" t="b">
        <v>0</v>
      </c>
    </row>
    <row r="178" spans="3:17" x14ac:dyDescent="0.25">
      <c r="C178" s="6"/>
      <c r="I178" s="5"/>
      <c r="J178" s="3" t="b">
        <v>0</v>
      </c>
      <c r="K178" s="3" t="b">
        <v>0</v>
      </c>
      <c r="L178" s="3" t="b">
        <v>0</v>
      </c>
      <c r="M178" s="3" t="b">
        <v>0</v>
      </c>
      <c r="N178" s="3" t="b">
        <v>0</v>
      </c>
      <c r="O178" s="3" t="b">
        <v>0</v>
      </c>
      <c r="P178" s="3" t="b">
        <v>0</v>
      </c>
      <c r="Q178" s="3" t="b">
        <v>0</v>
      </c>
    </row>
    <row r="179" spans="3:17" x14ac:dyDescent="0.25">
      <c r="C179" s="6"/>
      <c r="I179" s="5"/>
      <c r="J179" s="3" t="b">
        <v>0</v>
      </c>
      <c r="K179" s="3" t="b">
        <v>0</v>
      </c>
      <c r="L179" s="3" t="b">
        <v>0</v>
      </c>
      <c r="M179" s="3" t="b">
        <v>0</v>
      </c>
      <c r="N179" s="3" t="b">
        <v>0</v>
      </c>
      <c r="O179" s="3" t="b">
        <v>0</v>
      </c>
      <c r="P179" s="3" t="b">
        <v>0</v>
      </c>
      <c r="Q179" s="3" t="b">
        <v>0</v>
      </c>
    </row>
    <row r="180" spans="3:17" x14ac:dyDescent="0.25">
      <c r="C180" s="6"/>
      <c r="I180" s="5"/>
      <c r="J180" s="3" t="b">
        <v>0</v>
      </c>
      <c r="K180" s="3" t="b">
        <v>0</v>
      </c>
      <c r="L180" s="3" t="b">
        <v>0</v>
      </c>
      <c r="M180" s="3" t="b">
        <v>0</v>
      </c>
      <c r="N180" s="3" t="b">
        <v>0</v>
      </c>
      <c r="O180" s="3" t="b">
        <v>0</v>
      </c>
      <c r="P180" s="3" t="b">
        <v>0</v>
      </c>
      <c r="Q180" s="3" t="b">
        <v>0</v>
      </c>
    </row>
    <row r="181" spans="3:17" x14ac:dyDescent="0.25">
      <c r="C181" s="6"/>
      <c r="I181" s="5"/>
      <c r="J181" s="3" t="b">
        <v>0</v>
      </c>
      <c r="K181" s="3" t="b">
        <v>0</v>
      </c>
      <c r="L181" s="3" t="b">
        <v>0</v>
      </c>
      <c r="M181" s="3" t="b">
        <v>0</v>
      </c>
      <c r="N181" s="3" t="b">
        <v>0</v>
      </c>
      <c r="O181" s="3" t="b">
        <v>0</v>
      </c>
      <c r="P181" s="3" t="b">
        <v>0</v>
      </c>
      <c r="Q181" s="3" t="b">
        <v>0</v>
      </c>
    </row>
    <row r="182" spans="3:17" x14ac:dyDescent="0.25">
      <c r="C182" s="6"/>
      <c r="I182" s="5"/>
      <c r="J182" s="3" t="b">
        <v>0</v>
      </c>
      <c r="K182" s="3" t="b">
        <v>0</v>
      </c>
      <c r="L182" s="3" t="b">
        <v>0</v>
      </c>
      <c r="M182" s="3" t="b">
        <v>0</v>
      </c>
      <c r="N182" s="3" t="b">
        <v>0</v>
      </c>
      <c r="O182" s="3" t="b">
        <v>0</v>
      </c>
      <c r="P182" s="3" t="b">
        <v>0</v>
      </c>
      <c r="Q182" s="3" t="b">
        <v>0</v>
      </c>
    </row>
    <row r="183" spans="3:17" x14ac:dyDescent="0.25">
      <c r="C183" s="6"/>
      <c r="I183" s="5"/>
      <c r="J183" s="3" t="b">
        <v>0</v>
      </c>
      <c r="K183" s="3" t="b">
        <v>0</v>
      </c>
      <c r="L183" s="3" t="b">
        <v>0</v>
      </c>
      <c r="M183" s="3" t="b">
        <v>0</v>
      </c>
      <c r="N183" s="3" t="b">
        <v>0</v>
      </c>
      <c r="O183" s="3" t="b">
        <v>0</v>
      </c>
      <c r="P183" s="3" t="b">
        <v>0</v>
      </c>
      <c r="Q183" s="3" t="b">
        <v>0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  <headerFooter>
    <oddFooter>&amp;L_x000D_&amp;1#&amp;"Calibri"&amp;10&amp;K008000 Confidential -C2-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8E9CC4A-C0EB-4CCC-B45A-D195544AC769}">
          <x14:formula1>
            <xm:f>ListeChoixNoms!$A$2:$A$6</xm:f>
          </x14:formula1>
          <xm:sqref>E2:E1048576</xm:sqref>
        </x14:dataValidation>
        <x14:dataValidation type="list" allowBlank="1" showInputMessage="1" showErrorMessage="1" xr:uid="{C0C71BD5-ECB2-49F9-93BA-49426CAF31C3}">
          <x14:formula1>
            <xm:f>ListeChoixNoms!$B$2:$B$4</xm:f>
          </x14:formula1>
          <xm:sqref>F2:F1048576</xm:sqref>
        </x14:dataValidation>
        <x14:dataValidation type="list" allowBlank="1" showInputMessage="1" showErrorMessage="1" xr:uid="{8CB4C2A8-2AF9-40AC-B0A4-D4E1760B11FD}">
          <x14:formula1>
            <xm:f>ListeChoixNoms!$C$2:$C$4</xm:f>
          </x14:formula1>
          <xm:sqref>G2:H1048576</xm:sqref>
        </x14:dataValidation>
        <x14:dataValidation type="list" allowBlank="1" showInputMessage="1" showErrorMessage="1" xr:uid="{22D5107D-B914-42CD-9AB4-5D8E1A0F447D}">
          <x14:formula1>
            <xm:f>ListeChoixNoms!$D$2:$D$4</xm:f>
          </x14:formula1>
          <xm:sqref>R8:S8 I2:I183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39E0-DEA9-4C05-B85B-BAC723695CD2}">
  <dimension ref="A1:I11"/>
  <sheetViews>
    <sheetView workbookViewId="0">
      <selection activeCell="A3" sqref="A3"/>
    </sheetView>
  </sheetViews>
  <sheetFormatPr baseColWidth="10" defaultColWidth="0" defaultRowHeight="14.4" zeroHeight="1" x14ac:dyDescent="0.3"/>
  <cols>
    <col min="1" max="1" width="13.77734375" bestFit="1" customWidth="1"/>
    <col min="2" max="2" width="24.5546875" customWidth="1"/>
    <col min="3" max="3" width="37" customWidth="1"/>
    <col min="4" max="4" width="18.88671875" bestFit="1" customWidth="1"/>
    <col min="5" max="5" width="21" bestFit="1" customWidth="1"/>
    <col min="6" max="6" width="18.44140625" bestFit="1" customWidth="1"/>
    <col min="7" max="7" width="20.5546875" bestFit="1" customWidth="1"/>
    <col min="8" max="8" width="27.33203125" bestFit="1" customWidth="1"/>
    <col min="9" max="9" width="21" bestFit="1" customWidth="1"/>
    <col min="10" max="16384" width="11.5546875" hidden="1"/>
  </cols>
  <sheetData>
    <row r="1" spans="1:9" x14ac:dyDescent="0.3">
      <c r="A1" s="12" t="s">
        <v>28</v>
      </c>
      <c r="B1" s="12" t="s">
        <v>29</v>
      </c>
      <c r="C1" s="12" t="s">
        <v>30</v>
      </c>
      <c r="D1" s="12" t="s">
        <v>31</v>
      </c>
      <c r="E1" s="12" t="s">
        <v>32</v>
      </c>
      <c r="F1" s="12" t="s">
        <v>33</v>
      </c>
      <c r="G1" s="12" t="s">
        <v>34</v>
      </c>
      <c r="H1" s="12" t="s">
        <v>35</v>
      </c>
      <c r="I1" s="12" t="s">
        <v>36</v>
      </c>
    </row>
    <row r="2" spans="1:9" x14ac:dyDescent="0.3">
      <c r="A2" s="12" t="s">
        <v>37</v>
      </c>
      <c r="B2" s="12" t="s">
        <v>38</v>
      </c>
      <c r="C2" s="12" t="s">
        <v>39</v>
      </c>
      <c r="D2" s="12">
        <v>1</v>
      </c>
      <c r="E2" s="13"/>
      <c r="F2" s="14">
        <v>200000</v>
      </c>
      <c r="G2" s="12"/>
      <c r="H2" s="13"/>
      <c r="I2" s="13"/>
    </row>
    <row r="3" spans="1:9" x14ac:dyDescent="0.3">
      <c r="A3" s="12" t="s">
        <v>37</v>
      </c>
      <c r="B3" s="12" t="s">
        <v>40</v>
      </c>
      <c r="C3" s="12" t="s">
        <v>39</v>
      </c>
      <c r="D3" s="12">
        <v>1</v>
      </c>
      <c r="E3" s="13"/>
      <c r="F3" s="14">
        <v>150000</v>
      </c>
      <c r="G3" s="12"/>
      <c r="H3" s="13"/>
      <c r="I3" s="13"/>
    </row>
    <row r="4" spans="1:9" x14ac:dyDescent="0.3">
      <c r="A4" s="12" t="s">
        <v>41</v>
      </c>
      <c r="B4" s="12" t="s">
        <v>42</v>
      </c>
      <c r="C4" s="12" t="s">
        <v>43</v>
      </c>
      <c r="D4" s="12">
        <v>2</v>
      </c>
      <c r="E4" s="13"/>
      <c r="F4" s="14">
        <v>1000</v>
      </c>
      <c r="G4" s="12"/>
      <c r="H4" s="13"/>
      <c r="I4" s="13"/>
    </row>
    <row r="5" spans="1:9" x14ac:dyDescent="0.3">
      <c r="A5" s="12" t="s">
        <v>41</v>
      </c>
      <c r="B5" s="12" t="s">
        <v>42</v>
      </c>
      <c r="C5" s="12" t="s">
        <v>44</v>
      </c>
      <c r="D5" s="12">
        <v>4</v>
      </c>
      <c r="E5" s="13">
        <f>50+300+50+50</f>
        <v>450</v>
      </c>
      <c r="F5" s="14">
        <f>12*Tableau13[[#This Row],[Montant mensuel]]</f>
        <v>5400</v>
      </c>
      <c r="G5" s="12"/>
      <c r="H5" s="13"/>
      <c r="I5" s="13"/>
    </row>
    <row r="6" spans="1:9" x14ac:dyDescent="0.3">
      <c r="A6" s="12" t="s">
        <v>41</v>
      </c>
      <c r="B6" s="12" t="s">
        <v>45</v>
      </c>
      <c r="C6" s="12" t="s">
        <v>43</v>
      </c>
      <c r="D6" s="12">
        <v>2</v>
      </c>
      <c r="E6" s="13"/>
      <c r="F6" s="14">
        <v>20000</v>
      </c>
      <c r="G6" s="12"/>
      <c r="H6" s="13"/>
      <c r="I6" s="13"/>
    </row>
    <row r="7" spans="1:9" x14ac:dyDescent="0.3">
      <c r="A7" s="12" t="s">
        <v>41</v>
      </c>
      <c r="B7" s="12" t="s">
        <v>45</v>
      </c>
      <c r="C7" s="12" t="s">
        <v>44</v>
      </c>
      <c r="D7" s="12">
        <v>3</v>
      </c>
      <c r="E7" s="13">
        <v>550</v>
      </c>
      <c r="F7" s="14">
        <f>12*Tableau13[[#This Row],[Montant mensuel]]</f>
        <v>6600</v>
      </c>
      <c r="G7" s="12"/>
      <c r="H7" s="13"/>
      <c r="I7" s="13"/>
    </row>
    <row r="8" spans="1:9" x14ac:dyDescent="0.3">
      <c r="A8" s="12" t="s">
        <v>46</v>
      </c>
      <c r="B8" s="12" t="s">
        <v>47</v>
      </c>
      <c r="C8" s="12" t="s">
        <v>48</v>
      </c>
      <c r="D8" s="12">
        <v>2</v>
      </c>
      <c r="E8" s="13"/>
      <c r="F8" s="14">
        <v>200000</v>
      </c>
      <c r="G8" s="12"/>
      <c r="H8" s="13"/>
      <c r="I8" s="13"/>
    </row>
    <row r="9" spans="1:9" x14ac:dyDescent="0.3">
      <c r="A9" s="12" t="s">
        <v>46</v>
      </c>
      <c r="B9" s="12" t="s">
        <v>49</v>
      </c>
      <c r="C9" s="12" t="s">
        <v>50</v>
      </c>
      <c r="D9" s="12">
        <v>2</v>
      </c>
      <c r="E9" s="13"/>
      <c r="F9" s="14">
        <v>6500</v>
      </c>
      <c r="G9" s="12"/>
      <c r="H9" s="13"/>
      <c r="I9" s="13"/>
    </row>
    <row r="10" spans="1:9" x14ac:dyDescent="0.3">
      <c r="A10" s="12" t="s">
        <v>51</v>
      </c>
      <c r="B10" s="12"/>
      <c r="C10" s="12" t="s">
        <v>52</v>
      </c>
      <c r="D10" s="12">
        <v>2</v>
      </c>
      <c r="E10" s="13"/>
      <c r="F10" s="14"/>
      <c r="G10" s="12"/>
      <c r="H10" s="13"/>
      <c r="I10" s="13"/>
    </row>
    <row r="11" spans="1:9" x14ac:dyDescent="0.3">
      <c r="A11" s="15" t="s">
        <v>53</v>
      </c>
      <c r="B11" s="15"/>
      <c r="C11" s="15"/>
      <c r="D11" s="15"/>
      <c r="E11" s="16">
        <f>SUM(E2:E10)</f>
        <v>1000</v>
      </c>
      <c r="F11" s="17">
        <f>SUM(F2:F10)</f>
        <v>589500</v>
      </c>
      <c r="G11" s="18"/>
      <c r="H11" s="16">
        <f>SUM(H2:H10)</f>
        <v>0</v>
      </c>
      <c r="I11" s="19">
        <f>SUM(I2:I10)</f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D4E64A-516D-4C86-B7C8-486909EED247}">
          <x14:formula1>
            <xm:f>ListeRoadMap!$A$2:$A$20</xm:f>
          </x14:formula1>
          <xm:sqref>A2:A10</xm:sqref>
        </x14:dataValidation>
        <x14:dataValidation type="list" allowBlank="1" showInputMessage="1" showErrorMessage="1" xr:uid="{5C4DE246-99A7-48FA-801D-91D248694F8C}">
          <x14:formula1>
            <xm:f>ListeRoadMap!$B$2:$B$20</xm:f>
          </x14:formula1>
          <xm:sqref>B2:B10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F483-284A-493B-9C5A-665AACB0B7A4}">
  <sheetPr>
    <tabColor theme="4"/>
    <pageSetUpPr fitToPage="1"/>
  </sheetPr>
  <dimension ref="A1:M100"/>
  <sheetViews>
    <sheetView workbookViewId="0">
      <pane xSplit="9" ySplit="10" topLeftCell="J11" activePane="bottomRight" state="frozen"/>
      <selection activeCell="G8" sqref="G8"/>
      <selection pane="topRight" activeCell="G8" sqref="G8"/>
      <selection pane="bottomLeft" activeCell="G8" sqref="G8"/>
      <selection pane="bottomRight" activeCell="G20" sqref="G20"/>
    </sheetView>
  </sheetViews>
  <sheetFormatPr baseColWidth="10" defaultRowHeight="14.4" x14ac:dyDescent="0.3"/>
  <cols>
    <col min="1" max="4" width="15.6640625" customWidth="1"/>
    <col min="5" max="7" width="16.109375" customWidth="1"/>
    <col min="8" max="8" width="25.33203125" customWidth="1"/>
    <col min="10" max="10" width="29" customWidth="1"/>
    <col min="11" max="12" width="20.6640625" customWidth="1"/>
    <col min="13" max="13" width="18.44140625" customWidth="1"/>
    <col min="14" max="14" width="16.109375" customWidth="1"/>
  </cols>
  <sheetData>
    <row r="1" spans="1:13" ht="19.95" customHeight="1" thickBot="1" x14ac:dyDescent="0.35">
      <c r="A1" s="142" t="s">
        <v>71</v>
      </c>
      <c r="B1" s="143"/>
      <c r="C1" s="143"/>
      <c r="D1" s="143"/>
      <c r="E1" s="143"/>
      <c r="F1" s="144"/>
      <c r="G1" s="144"/>
      <c r="H1" s="145"/>
      <c r="J1" s="21" t="s">
        <v>72</v>
      </c>
      <c r="K1" s="21" t="s">
        <v>73</v>
      </c>
      <c r="L1" s="21" t="s">
        <v>74</v>
      </c>
    </row>
    <row r="2" spans="1:13" ht="19.95" customHeight="1" x14ac:dyDescent="0.3">
      <c r="A2" s="146" t="s">
        <v>75</v>
      </c>
      <c r="B2" s="147"/>
      <c r="C2" s="147"/>
      <c r="D2" s="147"/>
      <c r="E2" s="147"/>
      <c r="F2" s="148"/>
      <c r="G2" s="148"/>
      <c r="H2" s="149"/>
      <c r="J2" s="24" t="s">
        <v>76</v>
      </c>
      <c r="K2" s="25">
        <f>K3*K4*K5</f>
        <v>25000</v>
      </c>
      <c r="L2" s="26">
        <f>SUM(H7:H100)</f>
        <v>0</v>
      </c>
      <c r="M2" s="27" t="s">
        <v>77</v>
      </c>
    </row>
    <row r="3" spans="1:13" ht="19.95" customHeight="1" x14ac:dyDescent="0.3">
      <c r="A3" s="146" t="s">
        <v>78</v>
      </c>
      <c r="B3" s="147"/>
      <c r="C3" s="147"/>
      <c r="D3" s="147"/>
      <c r="E3" s="147"/>
      <c r="F3" s="148"/>
      <c r="G3" s="148"/>
      <c r="H3" s="149"/>
      <c r="J3" s="28" t="s">
        <v>79</v>
      </c>
      <c r="K3" s="29">
        <v>5</v>
      </c>
      <c r="L3" s="30">
        <f>C5</f>
        <v>0</v>
      </c>
      <c r="M3" s="31" t="e">
        <f>L3*L4</f>
        <v>#DIV/0!</v>
      </c>
    </row>
    <row r="4" spans="1:13" ht="19.95" customHeight="1" thickBot="1" x14ac:dyDescent="0.35">
      <c r="A4" s="150" t="s">
        <v>80</v>
      </c>
      <c r="B4" s="151"/>
      <c r="C4" s="151"/>
      <c r="D4" s="151"/>
      <c r="E4" s="151"/>
      <c r="F4" s="152"/>
      <c r="G4" s="152"/>
      <c r="H4" s="153"/>
      <c r="J4" s="28" t="s">
        <v>81</v>
      </c>
      <c r="K4" s="32">
        <v>0.5</v>
      </c>
      <c r="L4" s="33" t="e">
        <f>E5</f>
        <v>#DIV/0!</v>
      </c>
      <c r="M4" s="27" t="s">
        <v>82</v>
      </c>
    </row>
    <row r="5" spans="1:13" ht="19.95" customHeight="1" thickBot="1" x14ac:dyDescent="0.35">
      <c r="A5" s="34"/>
      <c r="B5" s="35" t="s">
        <v>66</v>
      </c>
      <c r="C5" s="36">
        <f>SUM(C7:C100)</f>
        <v>0</v>
      </c>
      <c r="D5" s="36">
        <f>SUM(D7:D100)</f>
        <v>0</v>
      </c>
      <c r="E5" s="37" t="e">
        <f>AVERAGE(E7:E100)</f>
        <v>#DIV/0!</v>
      </c>
      <c r="F5" s="126"/>
      <c r="G5" s="126"/>
      <c r="H5" s="38" t="e">
        <f>AVERAGE(H7:H100)</f>
        <v>#DIV/0!</v>
      </c>
      <c r="J5" s="39" t="s">
        <v>83</v>
      </c>
      <c r="K5" s="40">
        <v>10000</v>
      </c>
      <c r="L5" s="41" t="e">
        <f>H5</f>
        <v>#DIV/0!</v>
      </c>
      <c r="M5" s="42">
        <f>100*E7+300*E8+200*E10+50*E12</f>
        <v>0</v>
      </c>
    </row>
    <row r="6" spans="1:13" ht="19.95" customHeight="1" thickBot="1" x14ac:dyDescent="0.35">
      <c r="A6" s="12" t="s">
        <v>61</v>
      </c>
      <c r="B6" s="12" t="s">
        <v>0</v>
      </c>
      <c r="C6" s="12" t="s">
        <v>23</v>
      </c>
      <c r="D6" s="12" t="s">
        <v>62</v>
      </c>
      <c r="E6" s="12" t="s">
        <v>63</v>
      </c>
      <c r="F6" s="12" t="s">
        <v>29</v>
      </c>
      <c r="G6" s="12" t="s">
        <v>64</v>
      </c>
      <c r="H6" s="12" t="s">
        <v>65</v>
      </c>
      <c r="J6" s="43"/>
      <c r="K6" s="43"/>
      <c r="L6" s="43"/>
    </row>
    <row r="7" spans="1:13" ht="19.95" customHeight="1" thickBot="1" x14ac:dyDescent="0.35">
      <c r="A7" s="129"/>
      <c r="B7" s="130"/>
      <c r="C7" s="131"/>
      <c r="D7" s="131"/>
      <c r="E7" s="132"/>
      <c r="F7" s="132"/>
      <c r="G7" s="132"/>
      <c r="H7" s="133"/>
      <c r="J7" s="44" t="s">
        <v>84</v>
      </c>
      <c r="K7" s="45" t="str">
        <f>_xlfn.CONCAT("PV moyen = ",K8)</f>
        <v>PV moyen = 0.4</v>
      </c>
      <c r="L7" s="46" t="str">
        <f>_xlfn.CONCAT("TPC = ",L8*100,"%")</f>
        <v>TPC = 5%</v>
      </c>
      <c r="M7" s="47" t="s">
        <v>85</v>
      </c>
    </row>
    <row r="8" spans="1:13" ht="19.95" customHeight="1" thickBot="1" x14ac:dyDescent="0.35">
      <c r="A8" s="134"/>
      <c r="B8" s="12"/>
      <c r="C8" s="128"/>
      <c r="D8" s="128"/>
      <c r="E8" s="127"/>
      <c r="F8" s="127"/>
      <c r="G8" s="127"/>
      <c r="H8" s="135"/>
      <c r="J8" s="48">
        <f>K2</f>
        <v>25000</v>
      </c>
      <c r="K8" s="123">
        <v>0.4</v>
      </c>
      <c r="L8" s="124">
        <v>0.05</v>
      </c>
      <c r="M8" s="49">
        <f>J8*K8*L8</f>
        <v>500</v>
      </c>
    </row>
    <row r="9" spans="1:13" ht="19.95" customHeight="1" thickBot="1" x14ac:dyDescent="0.35">
      <c r="A9" s="134"/>
      <c r="B9" s="12"/>
      <c r="C9" s="128"/>
      <c r="D9" s="128"/>
      <c r="E9" s="127"/>
      <c r="F9" s="127"/>
      <c r="G9" s="127"/>
      <c r="H9" s="135"/>
      <c r="J9" s="50" t="s">
        <v>86</v>
      </c>
      <c r="K9" s="51" t="str">
        <f>_xlfn.CONCAT("PV moyen = ",K10)</f>
        <v>PV moyen = 0.4</v>
      </c>
      <c r="L9" s="52" t="str">
        <f>_xlfn.CONCAT("TPC = ",L10*100,"%")</f>
        <v>TPC = 5%</v>
      </c>
      <c r="M9" s="53" t="s">
        <v>85</v>
      </c>
    </row>
    <row r="10" spans="1:13" ht="19.95" customHeight="1" thickBot="1" x14ac:dyDescent="0.35">
      <c r="A10" s="134"/>
      <c r="B10" s="12"/>
      <c r="C10" s="128"/>
      <c r="D10" s="128"/>
      <c r="E10" s="127"/>
      <c r="F10" s="127"/>
      <c r="G10" s="127"/>
      <c r="H10" s="135"/>
      <c r="J10" s="48">
        <f>L2</f>
        <v>0</v>
      </c>
      <c r="K10" s="123">
        <v>0.4</v>
      </c>
      <c r="L10" s="125">
        <f>L8</f>
        <v>0.05</v>
      </c>
      <c r="M10" s="49">
        <f>J10*K10*L10</f>
        <v>0</v>
      </c>
    </row>
    <row r="11" spans="1:13" ht="19.95" customHeight="1" x14ac:dyDescent="0.3">
      <c r="A11" s="134"/>
      <c r="B11" s="12"/>
      <c r="C11" s="128"/>
      <c r="D11" s="128"/>
      <c r="E11" s="127"/>
      <c r="F11" s="127"/>
      <c r="G11" s="127"/>
      <c r="H11" s="135"/>
    </row>
    <row r="12" spans="1:13" ht="19.95" customHeight="1" x14ac:dyDescent="0.3">
      <c r="A12" s="134"/>
      <c r="B12" s="12"/>
      <c r="C12" s="128"/>
      <c r="D12" s="128"/>
      <c r="E12" s="127"/>
      <c r="F12" s="127"/>
      <c r="G12" s="127"/>
      <c r="H12" s="135"/>
      <c r="J12" s="54" t="s">
        <v>87</v>
      </c>
    </row>
    <row r="13" spans="1:13" ht="19.95" customHeight="1" x14ac:dyDescent="0.3">
      <c r="A13" s="134"/>
      <c r="B13" s="12"/>
      <c r="C13" s="128"/>
      <c r="D13" s="128"/>
      <c r="E13" s="127"/>
      <c r="F13" s="127"/>
      <c r="G13" s="127"/>
      <c r="H13" s="135"/>
      <c r="J13" t="s">
        <v>88</v>
      </c>
    </row>
    <row r="14" spans="1:13" ht="19.95" customHeight="1" x14ac:dyDescent="0.3">
      <c r="A14" s="134"/>
      <c r="B14" s="12"/>
      <c r="C14" s="128"/>
      <c r="D14" s="128"/>
      <c r="E14" s="127"/>
      <c r="F14" s="127"/>
      <c r="G14" s="127"/>
      <c r="H14" s="135"/>
      <c r="J14" t="s">
        <v>89</v>
      </c>
    </row>
    <row r="15" spans="1:13" ht="19.95" customHeight="1" x14ac:dyDescent="0.3">
      <c r="A15" s="134"/>
      <c r="B15" s="12"/>
      <c r="C15" s="128"/>
      <c r="D15" s="128"/>
      <c r="E15" s="127"/>
      <c r="F15" s="127"/>
      <c r="G15" s="127"/>
      <c r="H15" s="135"/>
      <c r="J15" t="s">
        <v>90</v>
      </c>
    </row>
    <row r="16" spans="1:13" ht="19.95" customHeight="1" x14ac:dyDescent="0.3">
      <c r="A16" s="134"/>
      <c r="B16" s="12"/>
      <c r="C16" s="128"/>
      <c r="D16" s="128"/>
      <c r="E16" s="127"/>
      <c r="F16" s="127"/>
      <c r="G16" s="127"/>
      <c r="H16" s="135"/>
      <c r="J16" t="s">
        <v>91</v>
      </c>
    </row>
    <row r="17" spans="1:12" ht="19.95" customHeight="1" x14ac:dyDescent="0.3">
      <c r="A17" s="134"/>
      <c r="B17" s="12"/>
      <c r="C17" s="128"/>
      <c r="D17" s="128"/>
      <c r="E17" s="127"/>
      <c r="F17" s="127"/>
      <c r="G17" s="127"/>
      <c r="H17" s="135"/>
    </row>
    <row r="18" spans="1:12" ht="19.95" customHeight="1" x14ac:dyDescent="0.3">
      <c r="A18" s="134"/>
      <c r="B18" s="12"/>
      <c r="C18" s="128"/>
      <c r="D18" s="128"/>
      <c r="E18" s="127"/>
      <c r="F18" s="127"/>
      <c r="G18" s="127"/>
      <c r="H18" s="135"/>
      <c r="J18" s="54" t="s">
        <v>92</v>
      </c>
      <c r="K18" s="54"/>
    </row>
    <row r="19" spans="1:12" ht="19.95" customHeight="1" x14ac:dyDescent="0.3">
      <c r="A19" s="134"/>
      <c r="B19" s="12"/>
      <c r="C19" s="128"/>
      <c r="D19" s="128"/>
      <c r="E19" s="127"/>
      <c r="F19" s="127"/>
      <c r="G19" s="127"/>
      <c r="H19" s="135"/>
      <c r="J19" t="s">
        <v>93</v>
      </c>
    </row>
    <row r="20" spans="1:12" ht="19.95" customHeight="1" x14ac:dyDescent="0.3">
      <c r="A20" s="134"/>
      <c r="B20" s="12"/>
      <c r="C20" s="128"/>
      <c r="D20" s="128"/>
      <c r="E20" s="127"/>
      <c r="F20" s="127"/>
      <c r="G20" s="127"/>
      <c r="H20" s="135"/>
      <c r="J20" t="s">
        <v>94</v>
      </c>
      <c r="L20" s="55" t="s">
        <v>95</v>
      </c>
    </row>
    <row r="21" spans="1:12" ht="19.95" customHeight="1" x14ac:dyDescent="0.3">
      <c r="A21" s="134"/>
      <c r="B21" s="12"/>
      <c r="C21" s="128"/>
      <c r="D21" s="128"/>
      <c r="E21" s="127"/>
      <c r="F21" s="127"/>
      <c r="G21" s="127"/>
      <c r="H21" s="135"/>
      <c r="J21" t="s">
        <v>96</v>
      </c>
    </row>
    <row r="22" spans="1:12" ht="19.95" customHeight="1" x14ac:dyDescent="0.3">
      <c r="A22" s="134"/>
      <c r="B22" s="12"/>
      <c r="C22" s="128"/>
      <c r="D22" s="128"/>
      <c r="E22" s="127"/>
      <c r="F22" s="127"/>
      <c r="G22" s="127"/>
      <c r="H22" s="135"/>
      <c r="J22" t="s">
        <v>97</v>
      </c>
    </row>
    <row r="23" spans="1:12" ht="19.95" customHeight="1" x14ac:dyDescent="0.3">
      <c r="A23" s="134"/>
      <c r="B23" s="12"/>
      <c r="C23" s="128"/>
      <c r="D23" s="128"/>
      <c r="E23" s="127"/>
      <c r="F23" s="127"/>
      <c r="G23" s="127"/>
      <c r="H23" s="135"/>
      <c r="J23" t="s">
        <v>98</v>
      </c>
    </row>
    <row r="24" spans="1:12" ht="19.95" customHeight="1" x14ac:dyDescent="0.3">
      <c r="A24" s="134"/>
      <c r="B24" s="12"/>
      <c r="C24" s="128"/>
      <c r="D24" s="128"/>
      <c r="E24" s="127"/>
      <c r="F24" s="127"/>
      <c r="G24" s="127"/>
      <c r="H24" s="135"/>
      <c r="J24" t="s">
        <v>99</v>
      </c>
    </row>
    <row r="25" spans="1:12" ht="19.95" customHeight="1" x14ac:dyDescent="0.3">
      <c r="A25" s="134"/>
      <c r="B25" s="12"/>
      <c r="C25" s="128"/>
      <c r="D25" s="128"/>
      <c r="E25" s="127"/>
      <c r="F25" s="127"/>
      <c r="G25" s="127"/>
      <c r="H25" s="135"/>
    </row>
    <row r="26" spans="1:12" ht="19.95" customHeight="1" x14ac:dyDescent="0.3">
      <c r="A26" s="134"/>
      <c r="B26" s="12"/>
      <c r="C26" s="128"/>
      <c r="D26" s="128"/>
      <c r="E26" s="127"/>
      <c r="F26" s="127"/>
      <c r="G26" s="127"/>
      <c r="H26" s="135"/>
      <c r="J26" s="54" t="s">
        <v>100</v>
      </c>
    </row>
    <row r="27" spans="1:12" ht="19.95" customHeight="1" x14ac:dyDescent="0.3">
      <c r="A27" s="134"/>
      <c r="B27" s="12"/>
      <c r="C27" s="128"/>
      <c r="D27" s="128"/>
      <c r="E27" s="127"/>
      <c r="F27" s="127"/>
      <c r="G27" s="127"/>
      <c r="H27" s="135"/>
      <c r="J27" t="s">
        <v>101</v>
      </c>
    </row>
    <row r="28" spans="1:12" ht="19.95" customHeight="1" x14ac:dyDescent="0.3">
      <c r="A28" s="134"/>
      <c r="B28" s="12"/>
      <c r="C28" s="128"/>
      <c r="D28" s="128"/>
      <c r="E28" s="127"/>
      <c r="F28" s="127"/>
      <c r="G28" s="127"/>
      <c r="H28" s="135"/>
      <c r="J28" t="s">
        <v>102</v>
      </c>
    </row>
    <row r="29" spans="1:12" ht="19.95" customHeight="1" x14ac:dyDescent="0.3">
      <c r="A29" s="134"/>
      <c r="B29" s="12"/>
      <c r="C29" s="128"/>
      <c r="D29" s="128"/>
      <c r="E29" s="127"/>
      <c r="F29" s="127"/>
      <c r="G29" s="127"/>
      <c r="H29" s="135"/>
      <c r="J29" t="s">
        <v>103</v>
      </c>
    </row>
    <row r="30" spans="1:12" ht="19.95" customHeight="1" x14ac:dyDescent="0.3">
      <c r="A30" s="134"/>
      <c r="B30" s="12"/>
      <c r="C30" s="128"/>
      <c r="D30" s="128"/>
      <c r="E30" s="127"/>
      <c r="F30" s="127"/>
      <c r="G30" s="127"/>
      <c r="H30" s="135"/>
      <c r="J30" t="s">
        <v>104</v>
      </c>
    </row>
    <row r="31" spans="1:12" ht="19.95" customHeight="1" x14ac:dyDescent="0.3">
      <c r="A31" s="134"/>
      <c r="B31" s="12"/>
      <c r="C31" s="128"/>
      <c r="D31" s="128"/>
      <c r="E31" s="127"/>
      <c r="F31" s="127"/>
      <c r="G31" s="127"/>
      <c r="H31" s="135"/>
      <c r="J31" t="s">
        <v>105</v>
      </c>
      <c r="L31" t="s">
        <v>106</v>
      </c>
    </row>
    <row r="32" spans="1:12" ht="19.95" customHeight="1" x14ac:dyDescent="0.3">
      <c r="A32" s="134"/>
      <c r="B32" s="12"/>
      <c r="C32" s="128"/>
      <c r="D32" s="128"/>
      <c r="E32" s="127"/>
      <c r="F32" s="127"/>
      <c r="G32" s="127"/>
      <c r="H32" s="135"/>
      <c r="J32" t="s">
        <v>107</v>
      </c>
    </row>
    <row r="33" spans="1:12" ht="19.95" customHeight="1" x14ac:dyDescent="0.3">
      <c r="A33" s="134"/>
      <c r="B33" s="12"/>
      <c r="C33" s="128"/>
      <c r="D33" s="128"/>
      <c r="E33" s="127"/>
      <c r="F33" s="127"/>
      <c r="G33" s="127"/>
      <c r="H33" s="135"/>
      <c r="J33" t="s">
        <v>108</v>
      </c>
      <c r="L33" t="s">
        <v>109</v>
      </c>
    </row>
    <row r="34" spans="1:12" ht="19.95" customHeight="1" x14ac:dyDescent="0.3">
      <c r="A34" s="134"/>
      <c r="B34" s="12"/>
      <c r="C34" s="128"/>
      <c r="D34" s="128"/>
      <c r="E34" s="127"/>
      <c r="F34" s="127"/>
      <c r="G34" s="127"/>
      <c r="H34" s="135"/>
    </row>
    <row r="35" spans="1:12" ht="19.95" customHeight="1" x14ac:dyDescent="0.3">
      <c r="A35" s="134"/>
      <c r="B35" s="12"/>
      <c r="C35" s="128"/>
      <c r="D35" s="128"/>
      <c r="E35" s="127"/>
      <c r="F35" s="127"/>
      <c r="G35" s="127"/>
      <c r="H35" s="135"/>
    </row>
    <row r="36" spans="1:12" ht="19.95" customHeight="1" x14ac:dyDescent="0.3">
      <c r="A36" s="134"/>
      <c r="B36" s="12"/>
      <c r="C36" s="128"/>
      <c r="D36" s="128"/>
      <c r="E36" s="127"/>
      <c r="F36" s="127"/>
      <c r="G36" s="127"/>
      <c r="H36" s="135"/>
    </row>
    <row r="37" spans="1:12" ht="19.95" customHeight="1" x14ac:dyDescent="0.3">
      <c r="A37" s="134"/>
      <c r="B37" s="12"/>
      <c r="C37" s="128"/>
      <c r="D37" s="128"/>
      <c r="E37" s="127"/>
      <c r="F37" s="127"/>
      <c r="G37" s="127"/>
      <c r="H37" s="135"/>
    </row>
    <row r="38" spans="1:12" ht="19.95" customHeight="1" x14ac:dyDescent="0.3">
      <c r="A38" s="134"/>
      <c r="B38" s="12"/>
      <c r="C38" s="128"/>
      <c r="D38" s="128"/>
      <c r="E38" s="127"/>
      <c r="F38" s="127"/>
      <c r="G38" s="127"/>
      <c r="H38" s="135"/>
    </row>
    <row r="39" spans="1:12" ht="19.95" customHeight="1" x14ac:dyDescent="0.3">
      <c r="A39" s="134"/>
      <c r="B39" s="12"/>
      <c r="C39" s="128"/>
      <c r="D39" s="128"/>
      <c r="E39" s="127"/>
      <c r="F39" s="127"/>
      <c r="G39" s="127"/>
      <c r="H39" s="135"/>
    </row>
    <row r="40" spans="1:12" ht="19.95" customHeight="1" x14ac:dyDescent="0.3">
      <c r="A40" s="134"/>
      <c r="B40" s="12"/>
      <c r="C40" s="128"/>
      <c r="D40" s="128"/>
      <c r="E40" s="127"/>
      <c r="F40" s="127"/>
      <c r="G40" s="127"/>
      <c r="H40" s="135"/>
    </row>
    <row r="41" spans="1:12" ht="19.95" customHeight="1" x14ac:dyDescent="0.3">
      <c r="A41" s="134"/>
      <c r="B41" s="12"/>
      <c r="C41" s="128"/>
      <c r="D41" s="128"/>
      <c r="E41" s="127"/>
      <c r="F41" s="127"/>
      <c r="G41" s="127"/>
      <c r="H41" s="135"/>
    </row>
    <row r="42" spans="1:12" ht="19.95" customHeight="1" x14ac:dyDescent="0.3">
      <c r="A42" s="134"/>
      <c r="B42" s="12"/>
      <c r="C42" s="128"/>
      <c r="D42" s="128"/>
      <c r="E42" s="127"/>
      <c r="F42" s="127"/>
      <c r="G42" s="127"/>
      <c r="H42" s="135"/>
    </row>
    <row r="43" spans="1:12" ht="19.95" customHeight="1" x14ac:dyDescent="0.3">
      <c r="A43" s="134"/>
      <c r="B43" s="12"/>
      <c r="C43" s="128"/>
      <c r="D43" s="128"/>
      <c r="E43" s="127"/>
      <c r="F43" s="127"/>
      <c r="G43" s="127"/>
      <c r="H43" s="135"/>
    </row>
    <row r="44" spans="1:12" ht="19.95" customHeight="1" x14ac:dyDescent="0.3">
      <c r="A44" s="134"/>
      <c r="B44" s="12"/>
      <c r="C44" s="128"/>
      <c r="D44" s="128"/>
      <c r="E44" s="127"/>
      <c r="F44" s="127"/>
      <c r="G44" s="127"/>
      <c r="H44" s="135"/>
    </row>
    <row r="45" spans="1:12" ht="19.95" customHeight="1" x14ac:dyDescent="0.3">
      <c r="A45" s="134"/>
      <c r="B45" s="12"/>
      <c r="C45" s="128"/>
      <c r="D45" s="128"/>
      <c r="E45" s="127"/>
      <c r="F45" s="127"/>
      <c r="G45" s="127"/>
      <c r="H45" s="135"/>
    </row>
    <row r="46" spans="1:12" ht="19.95" customHeight="1" x14ac:dyDescent="0.3">
      <c r="A46" s="134"/>
      <c r="B46" s="12"/>
      <c r="C46" s="128"/>
      <c r="D46" s="128"/>
      <c r="E46" s="127"/>
      <c r="F46" s="127"/>
      <c r="G46" s="127"/>
      <c r="H46" s="135"/>
    </row>
    <row r="47" spans="1:12" ht="19.95" customHeight="1" x14ac:dyDescent="0.3">
      <c r="A47" s="134"/>
      <c r="B47" s="12"/>
      <c r="C47" s="128"/>
      <c r="D47" s="128"/>
      <c r="E47" s="127"/>
      <c r="F47" s="127"/>
      <c r="G47" s="127"/>
      <c r="H47" s="135"/>
    </row>
    <row r="48" spans="1:12" ht="19.95" customHeight="1" x14ac:dyDescent="0.3">
      <c r="A48" s="134"/>
      <c r="B48" s="12"/>
      <c r="C48" s="128"/>
      <c r="D48" s="128"/>
      <c r="E48" s="127"/>
      <c r="F48" s="127"/>
      <c r="G48" s="127"/>
      <c r="H48" s="135"/>
    </row>
    <row r="49" spans="1:8" ht="19.95" customHeight="1" x14ac:dyDescent="0.3">
      <c r="A49" s="134"/>
      <c r="B49" s="12"/>
      <c r="C49" s="128"/>
      <c r="D49" s="128"/>
      <c r="E49" s="127"/>
      <c r="F49" s="127"/>
      <c r="G49" s="127"/>
      <c r="H49" s="135"/>
    </row>
    <row r="50" spans="1:8" ht="19.95" customHeight="1" x14ac:dyDescent="0.3">
      <c r="A50" s="134"/>
      <c r="B50" s="12"/>
      <c r="C50" s="128"/>
      <c r="D50" s="128"/>
      <c r="E50" s="127"/>
      <c r="F50" s="127"/>
      <c r="G50" s="127"/>
      <c r="H50" s="135"/>
    </row>
    <row r="51" spans="1:8" ht="19.95" customHeight="1" x14ac:dyDescent="0.3">
      <c r="A51" s="134"/>
      <c r="B51" s="12"/>
      <c r="C51" s="128"/>
      <c r="D51" s="128"/>
      <c r="E51" s="127"/>
      <c r="F51" s="127"/>
      <c r="G51" s="127"/>
      <c r="H51" s="135"/>
    </row>
    <row r="52" spans="1:8" ht="19.95" customHeight="1" x14ac:dyDescent="0.3">
      <c r="A52" s="134"/>
      <c r="B52" s="12"/>
      <c r="C52" s="128"/>
      <c r="D52" s="128"/>
      <c r="E52" s="127"/>
      <c r="F52" s="127"/>
      <c r="G52" s="127"/>
      <c r="H52" s="135"/>
    </row>
    <row r="53" spans="1:8" ht="19.95" customHeight="1" x14ac:dyDescent="0.3">
      <c r="A53" s="134"/>
      <c r="B53" s="12"/>
      <c r="C53" s="128"/>
      <c r="D53" s="128"/>
      <c r="E53" s="127"/>
      <c r="F53" s="127"/>
      <c r="G53" s="127"/>
      <c r="H53" s="135"/>
    </row>
    <row r="54" spans="1:8" ht="19.95" customHeight="1" x14ac:dyDescent="0.3">
      <c r="A54" s="134"/>
      <c r="B54" s="12"/>
      <c r="C54" s="128"/>
      <c r="D54" s="128"/>
      <c r="E54" s="127"/>
      <c r="F54" s="127"/>
      <c r="G54" s="127"/>
      <c r="H54" s="135"/>
    </row>
    <row r="55" spans="1:8" ht="19.95" customHeight="1" x14ac:dyDescent="0.3">
      <c r="A55" s="134"/>
      <c r="B55" s="12"/>
      <c r="C55" s="128"/>
      <c r="D55" s="128"/>
      <c r="E55" s="127"/>
      <c r="F55" s="127"/>
      <c r="G55" s="127"/>
      <c r="H55" s="135"/>
    </row>
    <row r="56" spans="1:8" ht="19.95" customHeight="1" x14ac:dyDescent="0.3">
      <c r="A56" s="134"/>
      <c r="B56" s="12"/>
      <c r="C56" s="128"/>
      <c r="D56" s="128"/>
      <c r="E56" s="127"/>
      <c r="F56" s="127"/>
      <c r="G56" s="127"/>
      <c r="H56" s="135"/>
    </row>
    <row r="57" spans="1:8" ht="19.95" customHeight="1" x14ac:dyDescent="0.3">
      <c r="A57" s="134"/>
      <c r="B57" s="12"/>
      <c r="C57" s="128"/>
      <c r="D57" s="128"/>
      <c r="E57" s="127"/>
      <c r="F57" s="127"/>
      <c r="G57" s="127"/>
      <c r="H57" s="135"/>
    </row>
    <row r="58" spans="1:8" ht="19.95" customHeight="1" x14ac:dyDescent="0.3">
      <c r="A58" s="134"/>
      <c r="B58" s="12"/>
      <c r="C58" s="128"/>
      <c r="D58" s="128"/>
      <c r="E58" s="127"/>
      <c r="F58" s="127"/>
      <c r="G58" s="127"/>
      <c r="H58" s="135"/>
    </row>
    <row r="59" spans="1:8" ht="19.95" customHeight="1" x14ac:dyDescent="0.3">
      <c r="A59" s="134"/>
      <c r="B59" s="12"/>
      <c r="C59" s="128"/>
      <c r="D59" s="128"/>
      <c r="E59" s="127"/>
      <c r="F59" s="127"/>
      <c r="G59" s="127"/>
      <c r="H59" s="135"/>
    </row>
    <row r="60" spans="1:8" ht="19.95" customHeight="1" x14ac:dyDescent="0.3">
      <c r="A60" s="134"/>
      <c r="B60" s="12"/>
      <c r="C60" s="128"/>
      <c r="D60" s="128"/>
      <c r="E60" s="127"/>
      <c r="F60" s="127"/>
      <c r="G60" s="127"/>
      <c r="H60" s="135"/>
    </row>
    <row r="61" spans="1:8" ht="19.95" customHeight="1" x14ac:dyDescent="0.3">
      <c r="A61" s="134"/>
      <c r="B61" s="12"/>
      <c r="C61" s="128"/>
      <c r="D61" s="128"/>
      <c r="E61" s="127"/>
      <c r="F61" s="127"/>
      <c r="G61" s="127"/>
      <c r="H61" s="135"/>
    </row>
    <row r="62" spans="1:8" ht="19.95" customHeight="1" x14ac:dyDescent="0.3">
      <c r="A62" s="134"/>
      <c r="B62" s="12"/>
      <c r="C62" s="128"/>
      <c r="D62" s="128"/>
      <c r="E62" s="127"/>
      <c r="F62" s="127"/>
      <c r="G62" s="127"/>
      <c r="H62" s="135"/>
    </row>
    <row r="63" spans="1:8" ht="19.95" customHeight="1" x14ac:dyDescent="0.3">
      <c r="A63" s="134"/>
      <c r="B63" s="12"/>
      <c r="C63" s="128"/>
      <c r="D63" s="128"/>
      <c r="E63" s="127"/>
      <c r="F63" s="127"/>
      <c r="G63" s="127"/>
      <c r="H63" s="135"/>
    </row>
    <row r="64" spans="1:8" ht="19.95" customHeight="1" x14ac:dyDescent="0.3">
      <c r="A64" s="134"/>
      <c r="B64" s="12"/>
      <c r="C64" s="128"/>
      <c r="D64" s="128"/>
      <c r="E64" s="127"/>
      <c r="F64" s="127"/>
      <c r="G64" s="127"/>
      <c r="H64" s="135"/>
    </row>
    <row r="65" spans="1:8" ht="19.95" customHeight="1" x14ac:dyDescent="0.3">
      <c r="A65" s="134"/>
      <c r="B65" s="12"/>
      <c r="C65" s="128"/>
      <c r="D65" s="128"/>
      <c r="E65" s="127"/>
      <c r="F65" s="127"/>
      <c r="G65" s="127"/>
      <c r="H65" s="135"/>
    </row>
    <row r="66" spans="1:8" ht="19.95" customHeight="1" x14ac:dyDescent="0.3">
      <c r="A66" s="134"/>
      <c r="B66" s="12"/>
      <c r="C66" s="128"/>
      <c r="D66" s="128"/>
      <c r="E66" s="127"/>
      <c r="F66" s="127"/>
      <c r="G66" s="127"/>
      <c r="H66" s="135"/>
    </row>
    <row r="67" spans="1:8" ht="19.95" customHeight="1" x14ac:dyDescent="0.3">
      <c r="A67" s="134"/>
      <c r="B67" s="12"/>
      <c r="C67" s="128"/>
      <c r="D67" s="128"/>
      <c r="E67" s="127"/>
      <c r="F67" s="127"/>
      <c r="G67" s="127"/>
      <c r="H67" s="135"/>
    </row>
    <row r="68" spans="1:8" ht="19.95" customHeight="1" x14ac:dyDescent="0.3">
      <c r="A68" s="134"/>
      <c r="B68" s="12"/>
      <c r="C68" s="128"/>
      <c r="D68" s="128"/>
      <c r="E68" s="127"/>
      <c r="F68" s="127"/>
      <c r="G68" s="127"/>
      <c r="H68" s="135"/>
    </row>
    <row r="69" spans="1:8" ht="19.95" customHeight="1" x14ac:dyDescent="0.3">
      <c r="A69" s="134"/>
      <c r="B69" s="12"/>
      <c r="C69" s="128"/>
      <c r="D69" s="128"/>
      <c r="E69" s="127"/>
      <c r="F69" s="127"/>
      <c r="G69" s="127"/>
      <c r="H69" s="135"/>
    </row>
    <row r="70" spans="1:8" ht="19.95" customHeight="1" x14ac:dyDescent="0.3">
      <c r="A70" s="134"/>
      <c r="B70" s="12"/>
      <c r="C70" s="128"/>
      <c r="D70" s="128"/>
      <c r="E70" s="127"/>
      <c r="F70" s="127"/>
      <c r="G70" s="127"/>
      <c r="H70" s="135"/>
    </row>
    <row r="71" spans="1:8" ht="19.95" customHeight="1" x14ac:dyDescent="0.3">
      <c r="A71" s="134"/>
      <c r="B71" s="12"/>
      <c r="C71" s="128"/>
      <c r="D71" s="128"/>
      <c r="E71" s="127"/>
      <c r="F71" s="127"/>
      <c r="G71" s="127"/>
      <c r="H71" s="135"/>
    </row>
    <row r="72" spans="1:8" ht="19.95" customHeight="1" x14ac:dyDescent="0.3">
      <c r="A72" s="134"/>
      <c r="B72" s="12"/>
      <c r="C72" s="128"/>
      <c r="D72" s="128"/>
      <c r="E72" s="127"/>
      <c r="F72" s="127"/>
      <c r="G72" s="127"/>
      <c r="H72" s="135"/>
    </row>
    <row r="73" spans="1:8" ht="19.95" customHeight="1" x14ac:dyDescent="0.3">
      <c r="A73" s="134"/>
      <c r="B73" s="12"/>
      <c r="C73" s="128"/>
      <c r="D73" s="128"/>
      <c r="E73" s="127"/>
      <c r="F73" s="127"/>
      <c r="G73" s="127"/>
      <c r="H73" s="135"/>
    </row>
    <row r="74" spans="1:8" ht="19.95" customHeight="1" x14ac:dyDescent="0.3">
      <c r="A74" s="134"/>
      <c r="B74" s="12"/>
      <c r="C74" s="128"/>
      <c r="D74" s="128"/>
      <c r="E74" s="127"/>
      <c r="F74" s="127"/>
      <c r="G74" s="127"/>
      <c r="H74" s="135"/>
    </row>
    <row r="75" spans="1:8" ht="19.95" customHeight="1" x14ac:dyDescent="0.3">
      <c r="A75" s="134"/>
      <c r="B75" s="12"/>
      <c r="C75" s="128"/>
      <c r="D75" s="128"/>
      <c r="E75" s="127"/>
      <c r="F75" s="127"/>
      <c r="G75" s="127"/>
      <c r="H75" s="135"/>
    </row>
    <row r="76" spans="1:8" ht="19.95" customHeight="1" x14ac:dyDescent="0.3">
      <c r="A76" s="134"/>
      <c r="B76" s="12"/>
      <c r="C76" s="128"/>
      <c r="D76" s="128"/>
      <c r="E76" s="127"/>
      <c r="F76" s="127"/>
      <c r="G76" s="127"/>
      <c r="H76" s="135"/>
    </row>
    <row r="77" spans="1:8" ht="19.95" customHeight="1" x14ac:dyDescent="0.3">
      <c r="A77" s="134"/>
      <c r="B77" s="12"/>
      <c r="C77" s="128"/>
      <c r="D77" s="128"/>
      <c r="E77" s="127"/>
      <c r="F77" s="127"/>
      <c r="G77" s="127"/>
      <c r="H77" s="135"/>
    </row>
    <row r="78" spans="1:8" ht="19.95" customHeight="1" x14ac:dyDescent="0.3">
      <c r="A78" s="134"/>
      <c r="B78" s="12"/>
      <c r="C78" s="128"/>
      <c r="D78" s="128"/>
      <c r="E78" s="127"/>
      <c r="F78" s="127"/>
      <c r="G78" s="127"/>
      <c r="H78" s="135"/>
    </row>
    <row r="79" spans="1:8" ht="19.95" customHeight="1" x14ac:dyDescent="0.3">
      <c r="A79" s="134"/>
      <c r="B79" s="12"/>
      <c r="C79" s="128"/>
      <c r="D79" s="128"/>
      <c r="E79" s="127"/>
      <c r="F79" s="127"/>
      <c r="G79" s="127"/>
      <c r="H79" s="135"/>
    </row>
    <row r="80" spans="1:8" ht="19.95" customHeight="1" x14ac:dyDescent="0.3">
      <c r="A80" s="134"/>
      <c r="B80" s="12"/>
      <c r="C80" s="128"/>
      <c r="D80" s="128"/>
      <c r="E80" s="127"/>
      <c r="F80" s="127"/>
      <c r="G80" s="127"/>
      <c r="H80" s="135"/>
    </row>
    <row r="81" spans="1:8" ht="19.95" customHeight="1" x14ac:dyDescent="0.3">
      <c r="A81" s="134"/>
      <c r="B81" s="12"/>
      <c r="C81" s="128"/>
      <c r="D81" s="128"/>
      <c r="E81" s="127"/>
      <c r="F81" s="127"/>
      <c r="G81" s="127"/>
      <c r="H81" s="135"/>
    </row>
    <row r="82" spans="1:8" ht="19.95" customHeight="1" x14ac:dyDescent="0.3">
      <c r="A82" s="134"/>
      <c r="B82" s="12"/>
      <c r="C82" s="128"/>
      <c r="D82" s="128"/>
      <c r="E82" s="127"/>
      <c r="F82" s="127"/>
      <c r="G82" s="127"/>
      <c r="H82" s="135"/>
    </row>
    <row r="83" spans="1:8" ht="19.95" customHeight="1" x14ac:dyDescent="0.3">
      <c r="A83" s="134"/>
      <c r="B83" s="12"/>
      <c r="C83" s="128"/>
      <c r="D83" s="128"/>
      <c r="E83" s="127"/>
      <c r="F83" s="127"/>
      <c r="G83" s="127"/>
      <c r="H83" s="135"/>
    </row>
    <row r="84" spans="1:8" ht="19.95" customHeight="1" x14ac:dyDescent="0.3">
      <c r="A84" s="134"/>
      <c r="B84" s="12"/>
      <c r="C84" s="128"/>
      <c r="D84" s="128"/>
      <c r="E84" s="127"/>
      <c r="F84" s="127"/>
      <c r="G84" s="127"/>
      <c r="H84" s="135"/>
    </row>
    <row r="85" spans="1:8" ht="19.95" customHeight="1" x14ac:dyDescent="0.3">
      <c r="A85" s="134"/>
      <c r="B85" s="12"/>
      <c r="C85" s="128"/>
      <c r="D85" s="128"/>
      <c r="E85" s="127"/>
      <c r="F85" s="127"/>
      <c r="G85" s="127"/>
      <c r="H85" s="135"/>
    </row>
    <row r="86" spans="1:8" ht="19.95" customHeight="1" x14ac:dyDescent="0.3">
      <c r="A86" s="134"/>
      <c r="B86" s="12"/>
      <c r="C86" s="128"/>
      <c r="D86" s="128"/>
      <c r="E86" s="127"/>
      <c r="F86" s="127"/>
      <c r="G86" s="127"/>
      <c r="H86" s="135"/>
    </row>
    <row r="87" spans="1:8" ht="19.95" customHeight="1" x14ac:dyDescent="0.3">
      <c r="A87" s="134"/>
      <c r="B87" s="12"/>
      <c r="C87" s="128"/>
      <c r="D87" s="128"/>
      <c r="E87" s="127"/>
      <c r="F87" s="127"/>
      <c r="G87" s="127"/>
      <c r="H87" s="135"/>
    </row>
    <row r="88" spans="1:8" ht="19.95" customHeight="1" x14ac:dyDescent="0.3">
      <c r="A88" s="134"/>
      <c r="B88" s="12"/>
      <c r="C88" s="128"/>
      <c r="D88" s="128"/>
      <c r="E88" s="127"/>
      <c r="F88" s="127"/>
      <c r="G88" s="127"/>
      <c r="H88" s="135"/>
    </row>
    <row r="89" spans="1:8" ht="19.95" customHeight="1" x14ac:dyDescent="0.3">
      <c r="A89" s="134"/>
      <c r="B89" s="12"/>
      <c r="C89" s="128"/>
      <c r="D89" s="128"/>
      <c r="E89" s="127"/>
      <c r="F89" s="127"/>
      <c r="G89" s="127"/>
      <c r="H89" s="135"/>
    </row>
    <row r="90" spans="1:8" ht="19.95" customHeight="1" x14ac:dyDescent="0.3">
      <c r="A90" s="134"/>
      <c r="B90" s="12"/>
      <c r="C90" s="128"/>
      <c r="D90" s="128"/>
      <c r="E90" s="127"/>
      <c r="F90" s="127"/>
      <c r="G90" s="127"/>
      <c r="H90" s="135"/>
    </row>
    <row r="91" spans="1:8" ht="19.95" customHeight="1" x14ac:dyDescent="0.3">
      <c r="A91" s="134"/>
      <c r="B91" s="12"/>
      <c r="C91" s="128"/>
      <c r="D91" s="128"/>
      <c r="E91" s="127"/>
      <c r="F91" s="127"/>
      <c r="G91" s="127"/>
      <c r="H91" s="135"/>
    </row>
    <row r="92" spans="1:8" ht="19.95" customHeight="1" x14ac:dyDescent="0.3">
      <c r="A92" s="134"/>
      <c r="B92" s="12"/>
      <c r="C92" s="128"/>
      <c r="D92" s="128"/>
      <c r="E92" s="127"/>
      <c r="F92" s="127"/>
      <c r="G92" s="127"/>
      <c r="H92" s="135"/>
    </row>
    <row r="93" spans="1:8" ht="19.95" customHeight="1" x14ac:dyDescent="0.3">
      <c r="A93" s="134"/>
      <c r="B93" s="12"/>
      <c r="C93" s="128"/>
      <c r="D93" s="128"/>
      <c r="E93" s="127"/>
      <c r="F93" s="127"/>
      <c r="G93" s="127"/>
      <c r="H93" s="135"/>
    </row>
    <row r="94" spans="1:8" ht="19.95" customHeight="1" x14ac:dyDescent="0.3">
      <c r="A94" s="134"/>
      <c r="B94" s="12"/>
      <c r="C94" s="128"/>
      <c r="D94" s="128"/>
      <c r="E94" s="127"/>
      <c r="F94" s="127"/>
      <c r="G94" s="127"/>
      <c r="H94" s="135"/>
    </row>
    <row r="95" spans="1:8" ht="19.95" customHeight="1" x14ac:dyDescent="0.3">
      <c r="A95" s="134"/>
      <c r="B95" s="12"/>
      <c r="C95" s="128"/>
      <c r="D95" s="128"/>
      <c r="E95" s="127"/>
      <c r="F95" s="127"/>
      <c r="G95" s="127"/>
      <c r="H95" s="135"/>
    </row>
    <row r="96" spans="1:8" ht="19.95" customHeight="1" x14ac:dyDescent="0.3">
      <c r="A96" s="134"/>
      <c r="B96" s="12"/>
      <c r="C96" s="128"/>
      <c r="D96" s="128"/>
      <c r="E96" s="127"/>
      <c r="F96" s="127"/>
      <c r="G96" s="127"/>
      <c r="H96" s="135"/>
    </row>
    <row r="97" spans="1:8" ht="19.95" customHeight="1" x14ac:dyDescent="0.3">
      <c r="A97" s="134"/>
      <c r="B97" s="12"/>
      <c r="C97" s="128"/>
      <c r="D97" s="128"/>
      <c r="E97" s="127"/>
      <c r="F97" s="127"/>
      <c r="G97" s="127"/>
      <c r="H97" s="135"/>
    </row>
    <row r="98" spans="1:8" ht="19.95" customHeight="1" x14ac:dyDescent="0.3">
      <c r="A98" s="134"/>
      <c r="B98" s="12"/>
      <c r="C98" s="128"/>
      <c r="D98" s="128"/>
      <c r="E98" s="127"/>
      <c r="F98" s="127"/>
      <c r="G98" s="127"/>
      <c r="H98" s="135"/>
    </row>
    <row r="99" spans="1:8" ht="19.95" customHeight="1" x14ac:dyDescent="0.3">
      <c r="A99" s="134"/>
      <c r="B99" s="12"/>
      <c r="C99" s="128"/>
      <c r="D99" s="128"/>
      <c r="E99" s="127"/>
      <c r="F99" s="127"/>
      <c r="G99" s="127"/>
      <c r="H99" s="135"/>
    </row>
    <row r="100" spans="1:8" ht="19.95" customHeight="1" thickBot="1" x14ac:dyDescent="0.35">
      <c r="A100" s="136"/>
      <c r="B100" s="137"/>
      <c r="C100" s="138"/>
      <c r="D100" s="138"/>
      <c r="E100" s="139"/>
      <c r="F100" s="139"/>
      <c r="G100" s="139"/>
      <c r="H100" s="140"/>
    </row>
  </sheetData>
  <mergeCells count="4">
    <mergeCell ref="A1:H1"/>
    <mergeCell ref="A2:H2"/>
    <mergeCell ref="A3:H3"/>
    <mergeCell ref="A4:H4"/>
  </mergeCells>
  <phoneticPr fontId="4" type="noConversion"/>
  <conditionalFormatting sqref="L2">
    <cfRule type="cellIs" dxfId="38" priority="7" operator="greaterThan">
      <formula>$K$2</formula>
    </cfRule>
    <cfRule type="cellIs" dxfId="37" priority="8" operator="lessThan">
      <formula>$K$2</formula>
    </cfRule>
    <cfRule type="cellIs" dxfId="36" priority="9" operator="greaterThan">
      <formula>"0$H$2"</formula>
    </cfRule>
    <cfRule type="cellIs" dxfId="35" priority="16" operator="lessThan">
      <formula>1280000</formula>
    </cfRule>
    <cfRule type="cellIs" dxfId="34" priority="17" operator="greaterThan">
      <formula>1280000</formula>
    </cfRule>
  </conditionalFormatting>
  <conditionalFormatting sqref="L3">
    <cfRule type="cellIs" dxfId="33" priority="5" operator="lessThan">
      <formula>$K$3</formula>
    </cfRule>
    <cfRule type="cellIs" dxfId="32" priority="6" operator="greaterThan">
      <formula>$K$3</formula>
    </cfRule>
    <cfRule type="cellIs" dxfId="31" priority="14" operator="lessThan">
      <formula>40</formula>
    </cfRule>
    <cfRule type="cellIs" dxfId="30" priority="15" operator="greaterThan">
      <formula>40</formula>
    </cfRule>
  </conditionalFormatting>
  <conditionalFormatting sqref="L4">
    <cfRule type="cellIs" dxfId="29" priority="3" operator="lessThan">
      <formula>$K$4</formula>
    </cfRule>
    <cfRule type="cellIs" dxfId="28" priority="4" operator="greaterThan">
      <formula>$K$4</formula>
    </cfRule>
    <cfRule type="cellIs" dxfId="27" priority="12" operator="lessThan">
      <formula>"0.8"</formula>
    </cfRule>
    <cfRule type="cellIs" dxfId="26" priority="13" operator="greaterThan">
      <formula>"0.80"</formula>
    </cfRule>
  </conditionalFormatting>
  <conditionalFormatting sqref="L5">
    <cfRule type="cellIs" dxfId="25" priority="1" operator="lessThan">
      <formula>$K$5</formula>
    </cfRule>
    <cfRule type="cellIs" dxfId="24" priority="2" operator="greaterThan">
      <formula>$K$5</formula>
    </cfRule>
    <cfRule type="cellIs" dxfId="23" priority="10" operator="lessThan">
      <formula>40000</formula>
    </cfRule>
    <cfRule type="cellIs" dxfId="22" priority="11" operator="greaterThan">
      <formula>40000</formula>
    </cfRule>
  </conditionalFormatting>
  <pageMargins left="0.7" right="0.7" top="0.75" bottom="0.75" header="0.3" footer="0.3"/>
  <pageSetup paperSize="9" scale="7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F4E2691-B574-4058-AAE7-D02BBFB765BA}">
          <x14:formula1>
            <xm:f>ListeNoms!$A$2:$A$120</xm:f>
          </x14:formula1>
          <xm:sqref>A7:A100</xm:sqref>
        </x14:dataValidation>
        <x14:dataValidation type="list" allowBlank="1" showInputMessage="1" showErrorMessage="1" xr:uid="{24FCC141-F8E1-4CF4-9F1F-1FAA4F144AAE}">
          <x14:formula1>
            <xm:f>ListeNoms!$B$2:$B$120</xm:f>
          </x14:formula1>
          <xm:sqref>B7:B100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BDA2-0A0A-419D-B543-644228BC1D63}">
  <sheetPr>
    <tabColor theme="9"/>
  </sheetPr>
  <dimension ref="A1:O32"/>
  <sheetViews>
    <sheetView workbookViewId="0">
      <selection activeCell="E6" sqref="E6"/>
    </sheetView>
  </sheetViews>
  <sheetFormatPr baseColWidth="10" defaultRowHeight="14.4" x14ac:dyDescent="0.3"/>
  <cols>
    <col min="1" max="3" width="15.6640625" customWidth="1"/>
    <col min="4" max="4" width="13.6640625" customWidth="1"/>
    <col min="5" max="5" width="14.21875" customWidth="1"/>
    <col min="8" max="8" width="29" customWidth="1"/>
    <col min="9" max="10" width="20.6640625" customWidth="1"/>
  </cols>
  <sheetData>
    <row r="1" spans="1:15" ht="19.95" customHeight="1" thickBot="1" x14ac:dyDescent="0.35">
      <c r="A1" s="154" t="s">
        <v>110</v>
      </c>
      <c r="B1" s="155"/>
      <c r="C1" s="155"/>
      <c r="D1" s="155"/>
      <c r="E1" s="156"/>
      <c r="H1" s="21" t="s">
        <v>72</v>
      </c>
      <c r="I1" s="56" t="s">
        <v>73</v>
      </c>
      <c r="J1" s="21" t="s">
        <v>74</v>
      </c>
    </row>
    <row r="2" spans="1:15" ht="19.95" customHeight="1" x14ac:dyDescent="0.3">
      <c r="A2" s="157" t="s">
        <v>111</v>
      </c>
      <c r="B2" s="158"/>
      <c r="C2" s="158"/>
      <c r="D2" s="158"/>
      <c r="E2" s="159"/>
      <c r="H2" s="57" t="s">
        <v>112</v>
      </c>
      <c r="I2" s="58">
        <f>I3*I4*I5</f>
        <v>1</v>
      </c>
      <c r="J2" s="59">
        <f>E29</f>
        <v>0</v>
      </c>
    </row>
    <row r="3" spans="1:15" ht="19.95" customHeight="1" x14ac:dyDescent="0.3">
      <c r="A3" s="146" t="s">
        <v>78</v>
      </c>
      <c r="B3" s="147"/>
      <c r="C3" s="147"/>
      <c r="D3" s="147"/>
      <c r="E3" s="149"/>
      <c r="H3" s="60" t="s">
        <v>113</v>
      </c>
      <c r="I3" s="61">
        <v>10</v>
      </c>
      <c r="J3" s="59">
        <f>C29</f>
        <v>0</v>
      </c>
    </row>
    <row r="4" spans="1:15" ht="19.95" customHeight="1" x14ac:dyDescent="0.3">
      <c r="A4" s="150" t="s">
        <v>114</v>
      </c>
      <c r="B4" s="151"/>
      <c r="C4" s="151"/>
      <c r="D4" s="151"/>
      <c r="E4" s="153"/>
      <c r="H4" s="60" t="s">
        <v>115</v>
      </c>
      <c r="I4" s="62">
        <v>0.2</v>
      </c>
      <c r="J4" s="63">
        <f>D29</f>
        <v>0</v>
      </c>
    </row>
    <row r="5" spans="1:15" ht="19.95" customHeight="1" thickBot="1" x14ac:dyDescent="0.35">
      <c r="A5" s="116" t="s">
        <v>0</v>
      </c>
      <c r="B5" s="115" t="s">
        <v>27</v>
      </c>
      <c r="C5" s="115" t="s">
        <v>116</v>
      </c>
      <c r="D5" s="115" t="s">
        <v>117</v>
      </c>
      <c r="E5" s="117" t="s">
        <v>118</v>
      </c>
      <c r="H5" s="64" t="s">
        <v>119</v>
      </c>
      <c r="I5" s="65">
        <v>0.5</v>
      </c>
      <c r="J5" s="66">
        <f>E29</f>
        <v>0</v>
      </c>
    </row>
    <row r="6" spans="1:15" ht="19.95" customHeight="1" x14ac:dyDescent="0.3">
      <c r="C6" s="67">
        <v>0</v>
      </c>
      <c r="D6" s="68">
        <v>0</v>
      </c>
      <c r="E6" s="68">
        <v>0</v>
      </c>
      <c r="H6" s="43"/>
      <c r="I6" s="43"/>
      <c r="J6" s="43"/>
    </row>
    <row r="7" spans="1:15" ht="19.95" customHeight="1" x14ac:dyDescent="0.3">
      <c r="C7" s="67">
        <v>0</v>
      </c>
      <c r="D7" s="68">
        <v>0</v>
      </c>
      <c r="E7" s="68">
        <v>0</v>
      </c>
      <c r="H7" s="69" t="s">
        <v>87</v>
      </c>
    </row>
    <row r="8" spans="1:15" ht="19.95" customHeight="1" x14ac:dyDescent="0.3">
      <c r="C8" s="67">
        <v>0</v>
      </c>
      <c r="D8" s="68">
        <v>0</v>
      </c>
      <c r="E8" s="68">
        <v>0</v>
      </c>
      <c r="H8" t="s">
        <v>120</v>
      </c>
    </row>
    <row r="9" spans="1:15" ht="19.95" customHeight="1" x14ac:dyDescent="0.3">
      <c r="C9" s="67">
        <v>0</v>
      </c>
      <c r="D9" s="68">
        <v>0</v>
      </c>
      <c r="E9" s="68">
        <v>0</v>
      </c>
      <c r="H9" s="160" t="s">
        <v>121</v>
      </c>
      <c r="I9" s="160"/>
      <c r="J9" s="160"/>
      <c r="K9" s="160"/>
    </row>
    <row r="10" spans="1:15" ht="19.95" customHeight="1" x14ac:dyDescent="0.3">
      <c r="C10" s="67">
        <v>0</v>
      </c>
      <c r="D10" s="68">
        <v>0</v>
      </c>
      <c r="E10" s="68">
        <v>0</v>
      </c>
      <c r="H10" s="160"/>
      <c r="I10" s="160"/>
      <c r="J10" s="160"/>
      <c r="K10" s="160"/>
    </row>
    <row r="11" spans="1:15" ht="19.95" customHeight="1" thickBot="1" x14ac:dyDescent="0.35">
      <c r="C11" s="67">
        <v>0</v>
      </c>
      <c r="D11" s="68">
        <v>0</v>
      </c>
      <c r="E11" s="68">
        <v>0</v>
      </c>
    </row>
    <row r="12" spans="1:15" ht="19.95" customHeight="1" thickBot="1" x14ac:dyDescent="0.35">
      <c r="C12" s="67">
        <v>0</v>
      </c>
      <c r="D12" s="68">
        <v>0</v>
      </c>
      <c r="E12" s="68">
        <v>0</v>
      </c>
      <c r="H12" s="71" t="s">
        <v>122</v>
      </c>
      <c r="I12" s="72" t="s">
        <v>123</v>
      </c>
      <c r="J12" s="72" t="s">
        <v>124</v>
      </c>
      <c r="K12" s="73" t="s">
        <v>125</v>
      </c>
      <c r="M12" s="70"/>
      <c r="N12" s="70"/>
      <c r="O12" s="70"/>
    </row>
    <row r="13" spans="1:15" ht="19.95" customHeight="1" x14ac:dyDescent="0.3">
      <c r="C13" s="67">
        <v>0</v>
      </c>
      <c r="D13" s="68">
        <v>0</v>
      </c>
      <c r="E13" s="68">
        <v>0</v>
      </c>
      <c r="H13" s="74" t="s">
        <v>126</v>
      </c>
      <c r="I13" s="75">
        <f>I2</f>
        <v>1</v>
      </c>
      <c r="J13" s="75">
        <f>I2</f>
        <v>1</v>
      </c>
      <c r="K13" s="76">
        <f>J13+1</f>
        <v>2</v>
      </c>
      <c r="L13" s="70"/>
      <c r="M13" s="70"/>
      <c r="N13" s="70"/>
      <c r="O13" s="70"/>
    </row>
    <row r="14" spans="1:15" ht="19.95" customHeight="1" x14ac:dyDescent="0.3">
      <c r="C14" s="67">
        <v>0</v>
      </c>
      <c r="D14" s="68">
        <v>0</v>
      </c>
      <c r="E14" s="68">
        <v>0</v>
      </c>
      <c r="H14" s="74" t="s">
        <v>127</v>
      </c>
      <c r="I14" s="75">
        <f>I2</f>
        <v>1</v>
      </c>
      <c r="J14" s="75">
        <f>J13+I14</f>
        <v>2</v>
      </c>
      <c r="K14" s="77">
        <f>(J14+(K13-1)*2)+1</f>
        <v>5</v>
      </c>
      <c r="L14" s="70"/>
    </row>
    <row r="15" spans="1:15" ht="19.95" customHeight="1" x14ac:dyDescent="0.3">
      <c r="C15" s="67">
        <v>0</v>
      </c>
      <c r="D15" s="68">
        <v>0</v>
      </c>
      <c r="E15" s="68">
        <v>0</v>
      </c>
      <c r="H15" s="74" t="s">
        <v>128</v>
      </c>
      <c r="I15" s="75">
        <f>I2</f>
        <v>1</v>
      </c>
      <c r="J15" s="75">
        <f>J14+I15</f>
        <v>3</v>
      </c>
      <c r="K15" s="77">
        <f t="shared" ref="K15:K17" si="0">(J15+(K14-1)*2)+1</f>
        <v>12</v>
      </c>
    </row>
    <row r="16" spans="1:15" ht="19.95" customHeight="1" x14ac:dyDescent="0.3">
      <c r="C16" s="67">
        <v>0</v>
      </c>
      <c r="D16" s="68">
        <v>0</v>
      </c>
      <c r="E16" s="68">
        <v>0</v>
      </c>
      <c r="H16" s="74" t="s">
        <v>129</v>
      </c>
      <c r="I16" s="75">
        <f>I2</f>
        <v>1</v>
      </c>
      <c r="J16" s="75">
        <f>J15+I16</f>
        <v>4</v>
      </c>
      <c r="K16" s="77">
        <f t="shared" si="0"/>
        <v>27</v>
      </c>
    </row>
    <row r="17" spans="1:11" ht="19.95" customHeight="1" thickBot="1" x14ac:dyDescent="0.35">
      <c r="C17" s="67">
        <v>0</v>
      </c>
      <c r="D17" s="68">
        <v>0</v>
      </c>
      <c r="E17" s="68">
        <v>0</v>
      </c>
      <c r="H17" s="78" t="s">
        <v>130</v>
      </c>
      <c r="I17" s="79">
        <f>I2</f>
        <v>1</v>
      </c>
      <c r="J17" s="79">
        <f>J16+I17</f>
        <v>5</v>
      </c>
      <c r="K17" s="80">
        <f t="shared" si="0"/>
        <v>58</v>
      </c>
    </row>
    <row r="18" spans="1:11" ht="19.95" customHeight="1" x14ac:dyDescent="0.3">
      <c r="C18" s="67">
        <v>0</v>
      </c>
      <c r="D18" s="68">
        <v>0</v>
      </c>
      <c r="E18" s="68">
        <v>0</v>
      </c>
    </row>
    <row r="19" spans="1:11" ht="19.95" customHeight="1" x14ac:dyDescent="0.3">
      <c r="C19" s="67">
        <v>0</v>
      </c>
      <c r="D19" s="68">
        <v>0</v>
      </c>
      <c r="E19" s="68">
        <v>0</v>
      </c>
      <c r="H19" s="55" t="s">
        <v>131</v>
      </c>
    </row>
    <row r="20" spans="1:11" ht="19.95" customHeight="1" x14ac:dyDescent="0.3">
      <c r="C20" s="67">
        <v>0</v>
      </c>
      <c r="D20" s="68">
        <v>0</v>
      </c>
      <c r="E20" s="68">
        <v>0</v>
      </c>
      <c r="H20" t="s">
        <v>132</v>
      </c>
    </row>
    <row r="21" spans="1:11" ht="19.95" customHeight="1" x14ac:dyDescent="0.3">
      <c r="C21" s="67">
        <v>0</v>
      </c>
      <c r="D21" s="68">
        <v>0</v>
      </c>
      <c r="E21" s="68">
        <v>0</v>
      </c>
      <c r="H21" t="s">
        <v>133</v>
      </c>
    </row>
    <row r="22" spans="1:11" ht="19.95" customHeight="1" x14ac:dyDescent="0.3">
      <c r="C22" s="67">
        <v>0</v>
      </c>
      <c r="D22" s="68">
        <v>0</v>
      </c>
      <c r="E22" s="68">
        <v>0</v>
      </c>
      <c r="H22" t="s">
        <v>134</v>
      </c>
    </row>
    <row r="23" spans="1:11" ht="19.95" customHeight="1" x14ac:dyDescent="0.3">
      <c r="C23" s="67">
        <v>0</v>
      </c>
      <c r="D23" s="68">
        <v>0</v>
      </c>
      <c r="E23" s="68">
        <v>0</v>
      </c>
    </row>
    <row r="24" spans="1:11" ht="19.95" customHeight="1" x14ac:dyDescent="0.3">
      <c r="C24" s="67">
        <v>0</v>
      </c>
      <c r="D24" s="68">
        <v>0</v>
      </c>
      <c r="E24" s="68">
        <v>0</v>
      </c>
    </row>
    <row r="25" spans="1:11" ht="19.95" customHeight="1" x14ac:dyDescent="0.3">
      <c r="C25" s="67">
        <v>0</v>
      </c>
      <c r="D25" s="68">
        <v>0</v>
      </c>
      <c r="E25" s="68">
        <v>0</v>
      </c>
    </row>
    <row r="26" spans="1:11" ht="19.95" customHeight="1" x14ac:dyDescent="0.3">
      <c r="C26" s="67">
        <v>0</v>
      </c>
      <c r="D26" s="68">
        <v>0</v>
      </c>
      <c r="E26" s="68">
        <v>0</v>
      </c>
    </row>
    <row r="27" spans="1:11" ht="19.95" customHeight="1" x14ac:dyDescent="0.3">
      <c r="C27" s="67">
        <v>0</v>
      </c>
      <c r="D27" s="68">
        <v>0</v>
      </c>
      <c r="E27" s="68">
        <v>0</v>
      </c>
    </row>
    <row r="28" spans="1:11" ht="19.95" customHeight="1" x14ac:dyDescent="0.3">
      <c r="C28" s="67">
        <v>0</v>
      </c>
      <c r="D28" s="68">
        <v>0</v>
      </c>
      <c r="E28" s="68">
        <v>0</v>
      </c>
    </row>
    <row r="29" spans="1:11" ht="19.95" customHeight="1" thickBot="1" x14ac:dyDescent="0.35">
      <c r="A29" s="118"/>
      <c r="B29" s="119"/>
      <c r="C29" s="120">
        <f>SUM(C6:C28)</f>
        <v>0</v>
      </c>
      <c r="D29" s="121">
        <f>AVERAGE(D6:D28)</f>
        <v>0</v>
      </c>
      <c r="E29" s="122">
        <f>SUM(E6:E28)</f>
        <v>0</v>
      </c>
      <c r="H29" s="55"/>
    </row>
    <row r="30" spans="1:11" ht="19.95" customHeight="1" x14ac:dyDescent="0.3"/>
    <row r="31" spans="1:11" ht="19.95" customHeight="1" x14ac:dyDescent="0.3"/>
    <row r="32" spans="1:11" ht="19.95" customHeight="1" x14ac:dyDescent="0.3"/>
  </sheetData>
  <mergeCells count="5">
    <mergeCell ref="A1:E1"/>
    <mergeCell ref="A2:E2"/>
    <mergeCell ref="A3:E3"/>
    <mergeCell ref="A4:E4"/>
    <mergeCell ref="H9:K10"/>
  </mergeCells>
  <conditionalFormatting sqref="I4">
    <cfRule type="cellIs" dxfId="21" priority="15" operator="greaterThan">
      <formula>0.5</formula>
    </cfRule>
  </conditionalFormatting>
  <conditionalFormatting sqref="J2">
    <cfRule type="cellIs" dxfId="20" priority="11" operator="equal">
      <formula>$I$2</formula>
    </cfRule>
    <cfRule type="cellIs" dxfId="19" priority="14" operator="lessThan">
      <formula>"3.5"</formula>
    </cfRule>
    <cfRule type="cellIs" dxfId="18" priority="16" operator="greaterThan">
      <formula>"3.5"</formula>
    </cfRule>
  </conditionalFormatting>
  <conditionalFormatting sqref="J3">
    <cfRule type="cellIs" dxfId="17" priority="6" operator="lessThan">
      <formula>$I$3</formula>
    </cfRule>
    <cfRule type="cellIs" dxfId="16" priority="12" operator="lessThan">
      <formula>"9.5"</formula>
    </cfRule>
    <cfRule type="cellIs" dxfId="15" priority="13" operator="greaterThan">
      <formula>"9.5"</formula>
    </cfRule>
  </conditionalFormatting>
  <conditionalFormatting sqref="J4">
    <cfRule type="cellIs" dxfId="14" priority="4" operator="lessThan">
      <formula>$I$4</formula>
    </cfRule>
    <cfRule type="cellIs" dxfId="13" priority="5" operator="equal">
      <formula>0</formula>
    </cfRule>
    <cfRule type="cellIs" dxfId="12" priority="8" operator="greaterThan">
      <formula>"0.55"</formula>
    </cfRule>
    <cfRule type="cellIs" dxfId="11" priority="9" operator="lessThan">
      <formula>"0.5"</formula>
    </cfRule>
    <cfRule type="cellIs" dxfId="10" priority="10" operator="greaterThan">
      <formula>"0.5"</formula>
    </cfRule>
    <cfRule type="cellIs" dxfId="9" priority="17" operator="greaterThan">
      <formula>"0.5"</formula>
    </cfRule>
  </conditionalFormatting>
  <conditionalFormatting sqref="J5">
    <cfRule type="cellIs" dxfId="8" priority="1" operator="lessThan">
      <formula>$I$5</formula>
    </cfRule>
    <cfRule type="cellIs" dxfId="7" priority="2" operator="equal">
      <formula>$I$5</formula>
    </cfRule>
    <cfRule type="cellIs" dxfId="6" priority="3" operator="greaterThan">
      <formula>$I$5</formula>
    </cfRule>
    <cfRule type="cellIs" dxfId="5" priority="7" operator="greaterThan">
      <formula>"0.81"</formula>
    </cfRule>
    <cfRule type="cellIs" dxfId="4" priority="18" operator="lessThan">
      <formula>"0.8"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8C992E7-9E69-4BE8-971E-10523DF9E23C}">
          <x14:formula1>
            <xm:f>ListeNoms!$B$2:$B$120</xm:f>
          </x14:formula1>
          <xm:sqref>A6:A28</xm:sqref>
        </x14:dataValidation>
        <x14:dataValidation type="list" allowBlank="1" showInputMessage="1" showErrorMessage="1" xr:uid="{B916E722-CC90-45E7-A330-214B12917217}">
          <x14:formula1>
            <xm:f>ListeNoms!$A$2:$A$120</xm:f>
          </x14:formula1>
          <xm:sqref>B6:B28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1D55-CB8F-425F-AAAB-513E6CE134B9}">
  <dimension ref="A1:M3"/>
  <sheetViews>
    <sheetView workbookViewId="0">
      <selection activeCell="F9" sqref="F9"/>
    </sheetView>
  </sheetViews>
  <sheetFormatPr baseColWidth="10" defaultRowHeight="14.4" x14ac:dyDescent="0.3"/>
  <cols>
    <col min="3" max="3" width="18.44140625" customWidth="1"/>
    <col min="4" max="4" width="25" customWidth="1"/>
    <col min="5" max="5" width="18.109375" customWidth="1"/>
    <col min="6" max="6" width="19.44140625" style="141" customWidth="1"/>
    <col min="7" max="7" width="16.5546875" customWidth="1"/>
    <col min="8" max="8" width="17.88671875" style="141" customWidth="1"/>
    <col min="9" max="9" width="17.77734375" customWidth="1"/>
    <col min="10" max="10" width="19.109375" style="141" customWidth="1"/>
    <col min="11" max="11" width="15.5546875" customWidth="1"/>
    <col min="12" max="12" width="16.88671875" style="141" customWidth="1"/>
  </cols>
  <sheetData>
    <row r="1" spans="1:13" x14ac:dyDescent="0.3">
      <c r="A1" s="177" t="s">
        <v>202</v>
      </c>
      <c r="B1" s="178"/>
      <c r="C1" s="179">
        <f>COUNTIF(C3:C1048576,"Oui")</f>
        <v>0</v>
      </c>
      <c r="D1" s="180"/>
      <c r="E1" s="179">
        <f>COUNTIF(E3:E1048576,"Oui")</f>
        <v>0</v>
      </c>
      <c r="F1" s="180"/>
      <c r="G1" s="179">
        <f>COUNTIF(G3:G1048576,"Oui")</f>
        <v>0</v>
      </c>
      <c r="H1" s="180"/>
      <c r="I1" s="179">
        <f>COUNTIF(I3:I1048576,"Oui")</f>
        <v>0</v>
      </c>
      <c r="J1" s="180"/>
      <c r="K1" s="179">
        <f>COUNTIF(K3:K1048576,"Oui")</f>
        <v>0</v>
      </c>
      <c r="L1" s="180"/>
      <c r="M1" s="176"/>
    </row>
    <row r="2" spans="1:13" x14ac:dyDescent="0.3">
      <c r="A2" t="s">
        <v>61</v>
      </c>
      <c r="B2" t="s">
        <v>0</v>
      </c>
      <c r="C2" t="s">
        <v>191</v>
      </c>
      <c r="D2" t="s">
        <v>200</v>
      </c>
      <c r="E2" t="s">
        <v>192</v>
      </c>
      <c r="F2" t="s">
        <v>193</v>
      </c>
      <c r="G2" t="s">
        <v>194</v>
      </c>
      <c r="H2" t="s">
        <v>195</v>
      </c>
      <c r="I2" t="s">
        <v>196</v>
      </c>
      <c r="J2" t="s">
        <v>197</v>
      </c>
      <c r="K2" t="s">
        <v>198</v>
      </c>
      <c r="L2" t="s">
        <v>199</v>
      </c>
      <c r="M2" t="s">
        <v>201</v>
      </c>
    </row>
    <row r="3" spans="1:13" x14ac:dyDescent="0.3">
      <c r="D3" s="11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E366DE-E822-4F9A-818B-3CFFC52F8A4D}">
          <x14:formula1>
            <xm:f>ListeChoixNoms!$C$2:$C$3</xm:f>
          </x14:formula1>
          <xm:sqref>C3:C1048576 E3:E1048576 G3:G1048576 I3:I1048576 K3:K1048576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9C36-3F6A-4513-93B1-4BEDE36C220F}">
  <sheetPr>
    <tabColor theme="5"/>
    <pageSetUpPr fitToPage="1"/>
  </sheetPr>
  <dimension ref="A1:R22"/>
  <sheetViews>
    <sheetView workbookViewId="0">
      <selection activeCell="B9" sqref="B9"/>
    </sheetView>
  </sheetViews>
  <sheetFormatPr baseColWidth="10" defaultColWidth="11.5546875" defaultRowHeight="14.4" x14ac:dyDescent="0.3"/>
  <cols>
    <col min="1" max="1" width="25.5546875" customWidth="1"/>
    <col min="2" max="6" width="16.109375" customWidth="1"/>
  </cols>
  <sheetData>
    <row r="1" spans="1:18" ht="25.2" customHeight="1" thickBot="1" x14ac:dyDescent="0.35">
      <c r="A1" t="s">
        <v>135</v>
      </c>
      <c r="C1" s="162" t="s">
        <v>136</v>
      </c>
      <c r="D1" s="163"/>
    </row>
    <row r="2" spans="1:18" ht="25.2" customHeight="1" thickBot="1" x14ac:dyDescent="0.35">
      <c r="A2" t="s">
        <v>137</v>
      </c>
    </row>
    <row r="3" spans="1:18" ht="25.2" customHeight="1" x14ac:dyDescent="0.3">
      <c r="A3" s="164" t="s">
        <v>138</v>
      </c>
      <c r="B3" s="165"/>
      <c r="C3" s="165"/>
      <c r="D3" s="165"/>
      <c r="E3" s="165"/>
      <c r="F3" s="166"/>
    </row>
    <row r="4" spans="1:18" ht="25.2" customHeight="1" x14ac:dyDescent="0.3">
      <c r="A4" s="81" t="s">
        <v>139</v>
      </c>
      <c r="B4" s="82">
        <v>2026</v>
      </c>
      <c r="C4" s="82">
        <v>2027</v>
      </c>
      <c r="D4" s="82">
        <v>2028</v>
      </c>
      <c r="E4" s="82">
        <v>2029</v>
      </c>
      <c r="F4" s="83">
        <v>2030</v>
      </c>
    </row>
    <row r="5" spans="1:18" ht="25.2" customHeight="1" thickBot="1" x14ac:dyDescent="0.35">
      <c r="A5" s="84" t="s">
        <v>140</v>
      </c>
      <c r="B5" s="85">
        <f>Développement!K13</f>
        <v>2</v>
      </c>
      <c r="C5" s="86">
        <f>Développement!K14</f>
        <v>5</v>
      </c>
      <c r="D5" s="86">
        <f>Développement!K15</f>
        <v>12</v>
      </c>
      <c r="E5" s="86">
        <f>Développement!K16</f>
        <v>27</v>
      </c>
      <c r="F5" s="87">
        <f>Développement!K17</f>
        <v>58</v>
      </c>
    </row>
    <row r="6" spans="1:18" ht="25.2" customHeight="1" thickBot="1" x14ac:dyDescent="0.35">
      <c r="A6" s="84" t="s">
        <v>141</v>
      </c>
      <c r="B6" s="22"/>
      <c r="C6" s="22" t="s">
        <v>142</v>
      </c>
      <c r="D6" s="22" t="s">
        <v>142</v>
      </c>
      <c r="E6" s="22" t="s">
        <v>143</v>
      </c>
      <c r="F6" s="23" t="s">
        <v>144</v>
      </c>
      <c r="H6" s="167" t="s">
        <v>145</v>
      </c>
      <c r="I6" s="168"/>
      <c r="J6" s="169"/>
    </row>
    <row r="7" spans="1:18" ht="25.2" customHeight="1" x14ac:dyDescent="0.3">
      <c r="A7" s="84" t="s">
        <v>146</v>
      </c>
      <c r="B7" s="88"/>
      <c r="C7" s="22" t="s">
        <v>147</v>
      </c>
      <c r="D7" s="22" t="s">
        <v>148</v>
      </c>
      <c r="E7" s="22" t="s">
        <v>149</v>
      </c>
      <c r="F7" s="23" t="s">
        <v>150</v>
      </c>
    </row>
    <row r="8" spans="1:18" ht="25.2" customHeight="1" x14ac:dyDescent="0.3">
      <c r="A8" s="84" t="s">
        <v>151</v>
      </c>
      <c r="B8" s="89">
        <v>0.05</v>
      </c>
      <c r="C8" s="90">
        <v>0.06</v>
      </c>
      <c r="D8" s="91">
        <v>6.5000000000000002E-2</v>
      </c>
      <c r="E8" s="91">
        <v>7.0000000000000007E-2</v>
      </c>
      <c r="F8" s="91">
        <v>0.08</v>
      </c>
      <c r="H8" s="92" t="s">
        <v>152</v>
      </c>
      <c r="I8" s="93"/>
      <c r="J8" s="93"/>
    </row>
    <row r="9" spans="1:18" ht="25.2" customHeight="1" thickBot="1" x14ac:dyDescent="0.35">
      <c r="A9" s="84" t="s">
        <v>153</v>
      </c>
      <c r="B9" s="94">
        <f>((B5-1)*125000)+B10</f>
        <v>714500</v>
      </c>
      <c r="C9" s="95">
        <f t="shared" ref="C9:F9" si="0">((C5-1)*125000)+C10</f>
        <v>1200000</v>
      </c>
      <c r="D9" s="95">
        <f t="shared" si="0"/>
        <v>2225000</v>
      </c>
      <c r="E9" s="95">
        <f t="shared" si="0"/>
        <v>4350000</v>
      </c>
      <c r="F9" s="95">
        <f t="shared" si="0"/>
        <v>8675000</v>
      </c>
      <c r="H9" s="93" t="s">
        <v>154</v>
      </c>
      <c r="I9" s="93"/>
      <c r="J9" s="93"/>
      <c r="K9" s="93"/>
    </row>
    <row r="10" spans="1:18" ht="25.2" customHeight="1" thickBot="1" x14ac:dyDescent="0.35">
      <c r="A10" s="84" t="s">
        <v>155</v>
      </c>
      <c r="B10" s="96">
        <f>RoadMap2026!F11</f>
        <v>589500</v>
      </c>
      <c r="C10" s="97">
        <v>700000</v>
      </c>
      <c r="D10" s="97">
        <v>850000</v>
      </c>
      <c r="E10" s="97">
        <v>1100000</v>
      </c>
      <c r="F10" s="98">
        <v>1550000</v>
      </c>
      <c r="H10" s="167" t="s">
        <v>145</v>
      </c>
      <c r="I10" s="168"/>
      <c r="J10" s="169"/>
      <c r="K10" s="93" t="s">
        <v>156</v>
      </c>
      <c r="L10" s="93"/>
      <c r="M10" s="93"/>
      <c r="N10" s="93"/>
    </row>
    <row r="11" spans="1:18" ht="25.2" customHeight="1" thickBot="1" x14ac:dyDescent="0.35">
      <c r="A11" s="84" t="s">
        <v>157</v>
      </c>
      <c r="B11" s="94">
        <f>B10*0.35</f>
        <v>206325</v>
      </c>
      <c r="C11" s="95">
        <f>(C10*0.35)+B11</f>
        <v>451325</v>
      </c>
      <c r="D11" s="95">
        <f>(D10*0.35)+C11</f>
        <v>748825</v>
      </c>
      <c r="E11" s="95">
        <f t="shared" ref="E11:F11" si="1">(E10*0.35)+D11</f>
        <v>1133825</v>
      </c>
      <c r="F11" s="95">
        <f t="shared" si="1"/>
        <v>1676325</v>
      </c>
      <c r="H11" s="93" t="s">
        <v>158</v>
      </c>
      <c r="I11" s="93"/>
      <c r="J11" s="93"/>
      <c r="K11" s="93"/>
      <c r="L11" s="93"/>
      <c r="M11" s="93"/>
      <c r="N11" s="93"/>
      <c r="O11" s="93"/>
      <c r="P11" s="93"/>
    </row>
    <row r="12" spans="1:18" ht="25.2" customHeight="1" thickBot="1" x14ac:dyDescent="0.35">
      <c r="A12" s="99" t="s">
        <v>44</v>
      </c>
      <c r="B12" s="96">
        <f>RoadMap2026!E11</f>
        <v>1000</v>
      </c>
      <c r="C12" s="97">
        <v>6400</v>
      </c>
      <c r="D12" s="97">
        <v>10000</v>
      </c>
      <c r="E12" s="97">
        <v>13000</v>
      </c>
      <c r="F12" s="98">
        <v>16000</v>
      </c>
      <c r="H12" s="167" t="s">
        <v>145</v>
      </c>
      <c r="I12" s="168"/>
      <c r="J12" s="169"/>
    </row>
    <row r="13" spans="1:18" ht="25.2" customHeight="1" x14ac:dyDescent="0.3">
      <c r="A13" s="74"/>
      <c r="B13" s="55"/>
      <c r="H13" s="160" t="s">
        <v>159</v>
      </c>
      <c r="I13" s="160"/>
      <c r="J13" s="160"/>
      <c r="K13" s="160"/>
      <c r="L13" s="160"/>
      <c r="M13" s="160"/>
      <c r="N13" s="160"/>
      <c r="O13" s="160"/>
    </row>
    <row r="14" spans="1:18" ht="25.2" customHeight="1" thickBot="1" x14ac:dyDescent="0.35">
      <c r="A14" s="100" t="s">
        <v>160</v>
      </c>
      <c r="B14" s="101">
        <f>(B10*B8*0.5)</f>
        <v>14737.5</v>
      </c>
      <c r="C14" s="102">
        <f>(C10*C8*0.5)</f>
        <v>21000</v>
      </c>
      <c r="D14" s="102">
        <f t="shared" ref="D14:F14" si="2">(D10*D8*0.5)</f>
        <v>27625</v>
      </c>
      <c r="E14" s="102">
        <f t="shared" si="2"/>
        <v>38500.000000000007</v>
      </c>
      <c r="F14" s="102">
        <f t="shared" si="2"/>
        <v>62000</v>
      </c>
      <c r="H14" s="160"/>
      <c r="I14" s="160"/>
      <c r="J14" s="160"/>
      <c r="K14" s="160"/>
      <c r="L14" s="160"/>
      <c r="M14" s="160"/>
      <c r="N14" s="160"/>
      <c r="O14" s="160"/>
    </row>
    <row r="15" spans="1:18" ht="25.2" customHeight="1" thickBot="1" x14ac:dyDescent="0.35">
      <c r="A15" s="100" t="s">
        <v>161</v>
      </c>
      <c r="B15" s="94">
        <f>(B9-B10)*0.5*1.5%</f>
        <v>937.5</v>
      </c>
      <c r="C15" s="95">
        <f t="shared" ref="C15:F15" si="3">(C9-C10)*0.5*0.75%</f>
        <v>1875</v>
      </c>
      <c r="D15" s="95">
        <f t="shared" si="3"/>
        <v>5156.25</v>
      </c>
      <c r="E15" s="95">
        <f t="shared" si="3"/>
        <v>12187.5</v>
      </c>
      <c r="F15" s="95">
        <f t="shared" si="3"/>
        <v>26718.75</v>
      </c>
      <c r="H15" s="170" t="s">
        <v>162</v>
      </c>
      <c r="I15" s="171"/>
      <c r="J15" s="172"/>
    </row>
    <row r="16" spans="1:18" ht="25.2" customHeight="1" thickBot="1" x14ac:dyDescent="0.35">
      <c r="A16" s="100" t="s">
        <v>163</v>
      </c>
      <c r="B16" s="103">
        <v>0</v>
      </c>
      <c r="C16" s="104">
        <f>B11*0.35%</f>
        <v>722.13749999999993</v>
      </c>
      <c r="D16" s="104">
        <f>C11*0.4%</f>
        <v>1805.3</v>
      </c>
      <c r="E16" s="104">
        <f>D11*0.5%</f>
        <v>3744.125</v>
      </c>
      <c r="F16" s="104">
        <f>E11*0.55%</f>
        <v>6236.0375000000004</v>
      </c>
      <c r="H16" s="105" t="s">
        <v>164</v>
      </c>
      <c r="I16" s="160" t="s">
        <v>165</v>
      </c>
      <c r="J16" s="160"/>
      <c r="K16" s="160"/>
      <c r="L16" s="160"/>
      <c r="M16" s="160"/>
      <c r="N16" s="160"/>
      <c r="O16" s="160"/>
      <c r="P16" s="106"/>
      <c r="Q16" s="106"/>
      <c r="R16" s="106"/>
    </row>
    <row r="17" spans="1:15" ht="25.2" customHeight="1" thickBot="1" x14ac:dyDescent="0.35">
      <c r="A17" s="100" t="s">
        <v>166</v>
      </c>
      <c r="B17" s="101">
        <f>B12*B8*0.4*6</f>
        <v>120</v>
      </c>
      <c r="C17" s="102">
        <f>(B12*C8*0.4)*12+((C12-B12)*C8*0.4*6)</f>
        <v>1065.5999999999999</v>
      </c>
      <c r="D17" s="102">
        <f t="shared" ref="D17:F17" si="4">(C12*D8*0.4)*12+((D12-C12)*D8*0.4*6)</f>
        <v>2558.4</v>
      </c>
      <c r="E17" s="102">
        <f t="shared" si="4"/>
        <v>3864.0000000000009</v>
      </c>
      <c r="F17" s="102">
        <f t="shared" si="4"/>
        <v>5568</v>
      </c>
      <c r="H17" s="54"/>
      <c r="I17" s="160"/>
      <c r="J17" s="160"/>
      <c r="K17" s="160"/>
      <c r="L17" s="160"/>
      <c r="M17" s="160"/>
      <c r="N17" s="160"/>
      <c r="O17" s="160"/>
    </row>
    <row r="18" spans="1:15" ht="25.2" customHeight="1" thickBot="1" x14ac:dyDescent="0.35">
      <c r="A18" s="100" t="s">
        <v>167</v>
      </c>
      <c r="B18" s="96">
        <v>0</v>
      </c>
      <c r="C18" s="97">
        <v>0</v>
      </c>
      <c r="D18" s="97">
        <v>0</v>
      </c>
      <c r="E18" s="97">
        <f>E9*0.35%</f>
        <v>15224.999999999998</v>
      </c>
      <c r="F18" s="97">
        <f>F9*0.4%</f>
        <v>34700</v>
      </c>
      <c r="H18" s="167" t="s">
        <v>145</v>
      </c>
      <c r="I18" s="168"/>
      <c r="J18" s="169"/>
      <c r="K18" s="173" t="s">
        <v>168</v>
      </c>
      <c r="L18" s="160"/>
      <c r="M18" s="160"/>
      <c r="N18" s="106"/>
      <c r="O18" s="106"/>
    </row>
    <row r="19" spans="1:15" ht="25.2" customHeight="1" thickBot="1" x14ac:dyDescent="0.35">
      <c r="A19" s="100" t="s">
        <v>169</v>
      </c>
      <c r="B19" s="94">
        <f>SUM(B14:B18)</f>
        <v>15795</v>
      </c>
      <c r="C19" s="95">
        <f>SUM(C14:C18)</f>
        <v>24662.737499999999</v>
      </c>
      <c r="D19" s="95">
        <f>SUM(D14:D18)</f>
        <v>37144.950000000004</v>
      </c>
      <c r="E19" s="95">
        <f t="shared" ref="E19:F19" si="5">SUM(E14:E18)</f>
        <v>73520.625</v>
      </c>
      <c r="F19" s="95">
        <f t="shared" si="5"/>
        <v>135222.78750000001</v>
      </c>
      <c r="J19" s="107"/>
      <c r="K19" s="107"/>
      <c r="L19" s="107"/>
      <c r="M19" s="107"/>
      <c r="N19" s="107"/>
      <c r="O19" s="107"/>
    </row>
    <row r="20" spans="1:15" ht="25.2" customHeight="1" thickBot="1" x14ac:dyDescent="0.35">
      <c r="A20" s="108" t="s">
        <v>170</v>
      </c>
      <c r="B20" s="109">
        <f>B19/12</f>
        <v>1316.25</v>
      </c>
      <c r="C20" s="110">
        <f>C19/12</f>
        <v>2055.2281250000001</v>
      </c>
      <c r="D20" s="110">
        <f>D19/12</f>
        <v>3095.4125000000004</v>
      </c>
      <c r="E20" s="110">
        <f t="shared" ref="E20:F20" si="6">E19/12</f>
        <v>6126.71875</v>
      </c>
      <c r="F20" s="110">
        <f t="shared" si="6"/>
        <v>11268.565625000001</v>
      </c>
    </row>
    <row r="21" spans="1:15" ht="17.399999999999999" x14ac:dyDescent="0.3">
      <c r="A21" s="161" t="s">
        <v>171</v>
      </c>
      <c r="B21" s="161"/>
      <c r="C21" s="161"/>
    </row>
    <row r="22" spans="1:15" ht="26.55" customHeight="1" x14ac:dyDescent="0.3"/>
  </sheetData>
  <mergeCells count="12">
    <mergeCell ref="A21:C21"/>
    <mergeCell ref="C1:D1"/>
    <mergeCell ref="A3:F3"/>
    <mergeCell ref="H6:J6"/>
    <mergeCell ref="H10:J10"/>
    <mergeCell ref="H12:J12"/>
    <mergeCell ref="H13:O14"/>
    <mergeCell ref="H15:J15"/>
    <mergeCell ref="I16:O16"/>
    <mergeCell ref="I17:O17"/>
    <mergeCell ref="H18:J18"/>
    <mergeCell ref="K18:M18"/>
  </mergeCells>
  <pageMargins left="0.7" right="0.7" top="0.75" bottom="0.75" header="0.3" footer="0.3"/>
  <pageSetup paperSize="9" scale="52" fitToWidth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DFDDA-00ED-4764-85F1-C8D40FC97100}">
  <sheetPr>
    <tabColor theme="7"/>
  </sheetPr>
  <dimension ref="A1:G9"/>
  <sheetViews>
    <sheetView workbookViewId="0">
      <selection activeCell="G2" sqref="G2"/>
    </sheetView>
  </sheetViews>
  <sheetFormatPr baseColWidth="10" defaultRowHeight="14.4" x14ac:dyDescent="0.3"/>
  <cols>
    <col min="2" max="2" width="14" customWidth="1"/>
    <col min="3" max="3" width="23" customWidth="1"/>
    <col min="4" max="4" width="12.88671875" customWidth="1"/>
  </cols>
  <sheetData>
    <row r="1" spans="1:7" ht="29.55" customHeight="1" thickBot="1" x14ac:dyDescent="0.35">
      <c r="A1" s="174" t="s">
        <v>172</v>
      </c>
      <c r="B1" s="175"/>
      <c r="C1" s="111" t="s">
        <v>173</v>
      </c>
      <c r="D1" s="111" t="s">
        <v>174</v>
      </c>
      <c r="E1" s="111" t="s">
        <v>175</v>
      </c>
      <c r="F1" s="111" t="s">
        <v>176</v>
      </c>
      <c r="G1" s="112" t="s">
        <v>177</v>
      </c>
    </row>
    <row r="2" spans="1:7" x14ac:dyDescent="0.3">
      <c r="A2" s="113">
        <v>45064</v>
      </c>
      <c r="B2" s="113">
        <v>45138</v>
      </c>
      <c r="C2" t="s">
        <v>178</v>
      </c>
      <c r="D2">
        <v>10</v>
      </c>
      <c r="E2">
        <v>5</v>
      </c>
      <c r="F2">
        <v>0</v>
      </c>
      <c r="G2" s="20">
        <f>E2*20000*0.5*3%</f>
        <v>1500</v>
      </c>
    </row>
    <row r="3" spans="1:7" x14ac:dyDescent="0.3">
      <c r="A3" s="113">
        <v>45139</v>
      </c>
      <c r="B3" s="113">
        <v>45291</v>
      </c>
      <c r="C3" t="s">
        <v>179</v>
      </c>
      <c r="D3">
        <v>15</v>
      </c>
      <c r="E3">
        <v>12</v>
      </c>
      <c r="F3">
        <v>1</v>
      </c>
      <c r="G3" s="20">
        <f>E3*0.5*20000*5%</f>
        <v>6000</v>
      </c>
    </row>
    <row r="4" spans="1:7" x14ac:dyDescent="0.3">
      <c r="A4" s="113">
        <v>45292</v>
      </c>
      <c r="B4" s="113">
        <v>45657</v>
      </c>
      <c r="C4" t="s">
        <v>180</v>
      </c>
      <c r="D4">
        <v>15</v>
      </c>
      <c r="E4">
        <v>12</v>
      </c>
      <c r="F4">
        <v>1</v>
      </c>
      <c r="G4" s="20">
        <v>6500</v>
      </c>
    </row>
    <row r="5" spans="1:7" x14ac:dyDescent="0.3">
      <c r="G5" s="114">
        <f>SUM(G2:G4)</f>
        <v>14000</v>
      </c>
    </row>
    <row r="7" spans="1:7" x14ac:dyDescent="0.3">
      <c r="A7" t="s">
        <v>181</v>
      </c>
      <c r="B7" t="s">
        <v>182</v>
      </c>
      <c r="C7" t="s">
        <v>183</v>
      </c>
      <c r="D7" t="s">
        <v>184</v>
      </c>
    </row>
    <row r="8" spans="1:7" x14ac:dyDescent="0.3">
      <c r="B8" t="s">
        <v>185</v>
      </c>
      <c r="C8" t="s">
        <v>186</v>
      </c>
      <c r="D8" t="s">
        <v>187</v>
      </c>
    </row>
    <row r="9" spans="1:7" x14ac:dyDescent="0.3">
      <c r="B9" t="s">
        <v>188</v>
      </c>
      <c r="C9" t="s">
        <v>189</v>
      </c>
      <c r="D9" t="s">
        <v>190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B398-1952-4810-839A-96A5D67BDDC6}">
  <dimension ref="A1:D6"/>
  <sheetViews>
    <sheetView workbookViewId="0">
      <selection activeCell="G1" sqref="G1"/>
    </sheetView>
  </sheetViews>
  <sheetFormatPr baseColWidth="10" defaultRowHeight="14.4" x14ac:dyDescent="0.3"/>
  <sheetData>
    <row r="1" spans="1:4" x14ac:dyDescent="0.3">
      <c r="A1" t="s">
        <v>5</v>
      </c>
      <c r="B1" t="s">
        <v>3</v>
      </c>
      <c r="C1" t="s">
        <v>4</v>
      </c>
      <c r="D1" t="s">
        <v>18</v>
      </c>
    </row>
    <row r="2" spans="1:4" x14ac:dyDescent="0.3">
      <c r="A2" t="s">
        <v>6</v>
      </c>
      <c r="B2" t="s">
        <v>10</v>
      </c>
      <c r="C2" t="s">
        <v>13</v>
      </c>
      <c r="D2" t="s">
        <v>19</v>
      </c>
    </row>
    <row r="3" spans="1:4" x14ac:dyDescent="0.3">
      <c r="A3" t="s">
        <v>7</v>
      </c>
      <c r="B3" t="s">
        <v>11</v>
      </c>
      <c r="C3" t="s">
        <v>14</v>
      </c>
      <c r="D3" t="s">
        <v>20</v>
      </c>
    </row>
    <row r="4" spans="1:4" x14ac:dyDescent="0.3">
      <c r="A4" t="s">
        <v>8</v>
      </c>
      <c r="B4" t="s">
        <v>12</v>
      </c>
      <c r="C4" t="s">
        <v>15</v>
      </c>
      <c r="D4" t="s">
        <v>21</v>
      </c>
    </row>
    <row r="5" spans="1:4" x14ac:dyDescent="0.3">
      <c r="A5" t="s">
        <v>16</v>
      </c>
    </row>
    <row r="6" spans="1:4" x14ac:dyDescent="0.3">
      <c r="A6" t="s">
        <v>9</v>
      </c>
    </row>
  </sheetData>
  <pageMargins left="0.7" right="0.7" top="0.75" bottom="0.75" header="0.3" footer="0.3"/>
  <headerFooter>
    <oddFooter>&amp;L_x000D_&amp;1#&amp;"Calibri"&amp;10&amp;K008000 Confidential -C2-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09AB-31C2-46EC-A6AB-5D2BC0542873}">
  <dimension ref="A1:B13"/>
  <sheetViews>
    <sheetView workbookViewId="0">
      <selection activeCell="F6" sqref="F6"/>
    </sheetView>
  </sheetViews>
  <sheetFormatPr baseColWidth="10" defaultRowHeight="14.4" x14ac:dyDescent="0.3"/>
  <cols>
    <col min="2" max="2" width="21.5546875" bestFit="1" customWidth="1"/>
  </cols>
  <sheetData>
    <row r="1" spans="1:2" x14ac:dyDescent="0.3">
      <c r="A1" t="s">
        <v>54</v>
      </c>
      <c r="B1" t="s">
        <v>29</v>
      </c>
    </row>
    <row r="2" spans="1:2" x14ac:dyDescent="0.3">
      <c r="A2" t="s">
        <v>37</v>
      </c>
      <c r="B2" t="s">
        <v>40</v>
      </c>
    </row>
    <row r="3" spans="1:2" x14ac:dyDescent="0.3">
      <c r="A3" t="s">
        <v>41</v>
      </c>
      <c r="B3" t="s">
        <v>55</v>
      </c>
    </row>
    <row r="4" spans="1:2" x14ac:dyDescent="0.3">
      <c r="A4" t="s">
        <v>46</v>
      </c>
      <c r="B4" t="s">
        <v>38</v>
      </c>
    </row>
    <row r="5" spans="1:2" x14ac:dyDescent="0.3">
      <c r="A5" t="s">
        <v>51</v>
      </c>
      <c r="B5" t="s">
        <v>56</v>
      </c>
    </row>
    <row r="6" spans="1:2" x14ac:dyDescent="0.3">
      <c r="B6" t="s">
        <v>57</v>
      </c>
    </row>
    <row r="7" spans="1:2" x14ac:dyDescent="0.3">
      <c r="B7" t="s">
        <v>42</v>
      </c>
    </row>
    <row r="8" spans="1:2" x14ac:dyDescent="0.3">
      <c r="B8" t="s">
        <v>45</v>
      </c>
    </row>
    <row r="9" spans="1:2" x14ac:dyDescent="0.3">
      <c r="B9" t="s">
        <v>58</v>
      </c>
    </row>
    <row r="10" spans="1:2" x14ac:dyDescent="0.3">
      <c r="B10" t="s">
        <v>47</v>
      </c>
    </row>
    <row r="11" spans="1:2" x14ac:dyDescent="0.3">
      <c r="B11" t="s">
        <v>49</v>
      </c>
    </row>
    <row r="12" spans="1:2" x14ac:dyDescent="0.3">
      <c r="B12" t="s">
        <v>59</v>
      </c>
    </row>
    <row r="13" spans="1:2" x14ac:dyDescent="0.3">
      <c r="B1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3</vt:i4>
      </vt:variant>
    </vt:vector>
  </HeadingPairs>
  <TitlesOfParts>
    <vt:vector size="12" baseType="lpstr">
      <vt:lpstr>ListeNoms</vt:lpstr>
      <vt:lpstr>RoadMap2026</vt:lpstr>
      <vt:lpstr>Production_2025</vt:lpstr>
      <vt:lpstr>Développement</vt:lpstr>
      <vt:lpstr>SuiviFilleuls</vt:lpstr>
      <vt:lpstr>Plan de carrière</vt:lpstr>
      <vt:lpstr>Plan d'action</vt:lpstr>
      <vt:lpstr>ListeChoixNoms</vt:lpstr>
      <vt:lpstr>ListeRoadMap</vt:lpstr>
      <vt:lpstr>Développement!Zone_d_impression</vt:lpstr>
      <vt:lpstr>'Plan de carrière'!Zone_d_impression</vt:lpstr>
      <vt:lpstr>Production_2025!Zone_d_impression</vt:lpstr>
    </vt:vector>
  </TitlesOfParts>
  <Company>Plastic Omnium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GUILLAUME, Guilbert (ext)</dc:creator>
  <cp:lastModifiedBy>GUILBERT, Guillaume (ext)</cp:lastModifiedBy>
  <dcterms:created xsi:type="dcterms:W3CDTF">2024-06-19T08:29:09Z</dcterms:created>
  <dcterms:modified xsi:type="dcterms:W3CDTF">2025-12-17T14:44:19Z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6af384-74fa-4222-b636-fc8f834be956_Enabled">
    <vt:lpwstr>true</vt:lpwstr>
  </property>
  <property fmtid="{D5CDD505-2E9C-101B-9397-08002B2CF9AE}" pid="3" name="MSIP_Label_c26af384-74fa-4222-b636-fc8f834be956_SetDate">
    <vt:lpwstr>2025-01-30T15:21:10Z</vt:lpwstr>
  </property>
  <property fmtid="{D5CDD505-2E9C-101B-9397-08002B2CF9AE}" pid="4" name="MSIP_Label_c26af384-74fa-4222-b636-fc8f834be956_Method">
    <vt:lpwstr>Standard</vt:lpwstr>
  </property>
  <property fmtid="{D5CDD505-2E9C-101B-9397-08002B2CF9AE}" pid="5" name="MSIP_Label_c26af384-74fa-4222-b636-fc8f834be956_Name">
    <vt:lpwstr>C2 - Confidential – Internal distribution</vt:lpwstr>
  </property>
  <property fmtid="{D5CDD505-2E9C-101B-9397-08002B2CF9AE}" pid="6" name="MSIP_Label_c26af384-74fa-4222-b636-fc8f834be956_SiteId">
    <vt:lpwstr>2696ce3d-b7da-4bf4-8f6d-b4df854adfcd</vt:lpwstr>
  </property>
  <property fmtid="{D5CDD505-2E9C-101B-9397-08002B2CF9AE}" pid="7" name="MSIP_Label_c26af384-74fa-4222-b636-fc8f834be956_ActionId">
    <vt:lpwstr>7d18fc04-aa0e-47ea-985e-647787a57996</vt:lpwstr>
  </property>
  <property fmtid="{D5CDD505-2E9C-101B-9397-08002B2CF9AE}" pid="8" name="MSIP_Label_c26af384-74fa-4222-b636-fc8f834be956_ContentBits">
    <vt:lpwstr>2</vt:lpwstr>
  </property>
</Properties>
</file>