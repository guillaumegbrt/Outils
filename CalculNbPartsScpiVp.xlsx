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5041946-my.sharepoint.com/personal/guillaume_guilbert_ext_plasticomnium_com/Documents/Documents/000-Perso/Conseil patrimoine/"/>
    </mc:Choice>
  </mc:AlternateContent>
  <xr:revisionPtr revIDLastSave="340" documentId="8_{94088136-3453-49E0-B6CD-C6A5325F9E56}" xr6:coauthVersionLast="47" xr6:coauthVersionMax="47" xr10:uidLastSave="{ACB21095-5219-484B-88EA-871C4417CC6E}"/>
  <bookViews>
    <workbookView xWindow="-108" yWindow="-108" windowWidth="23256" windowHeight="13896" xr2:uid="{BD3EEA23-6294-4AEE-BBBC-9B44F46C4250}"/>
  </bookViews>
  <sheets>
    <sheet name="Calcul" sheetId="2" r:id="rId1"/>
    <sheet name="Ref" sheetId="1" r:id="rId2"/>
  </sheets>
  <definedNames>
    <definedName name="solver_adj" localSheetId="0" hidden="1">Calcul!$C$3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Calcul!$C$3</definedName>
    <definedName name="solver_lhs2" localSheetId="0" hidden="1">Calcul!$C$3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Calcul!#REF!</definedName>
    <definedName name="solver_pre" localSheetId="0" hidden="1">0.000001</definedName>
    <definedName name="solver_rbv" localSheetId="0" hidden="1">2</definedName>
    <definedName name="solver_rel1" localSheetId="0" hidden="1">4</definedName>
    <definedName name="solver_rel2" localSheetId="0" hidden="1">3</definedName>
    <definedName name="solver_rhs1" localSheetId="0" hidden="1">"entier"</definedName>
    <definedName name="solver_rhs2" localSheetId="0" hidden="1">3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E9" i="2"/>
  <c r="F9" i="2"/>
  <c r="G9" i="2"/>
  <c r="H9" i="2"/>
  <c r="I9" i="2"/>
  <c r="J9" i="2"/>
  <c r="J10" i="2" s="1"/>
  <c r="C9" i="2"/>
  <c r="C12" i="2" s="1"/>
  <c r="D10" i="2"/>
  <c r="E10" i="2"/>
  <c r="F10" i="2"/>
  <c r="G10" i="2"/>
  <c r="H10" i="2"/>
  <c r="I10" i="2"/>
  <c r="D11" i="2"/>
  <c r="E11" i="2"/>
  <c r="F11" i="2"/>
  <c r="G11" i="2"/>
  <c r="H11" i="2"/>
  <c r="I11" i="2"/>
  <c r="J11" i="2"/>
  <c r="D12" i="2"/>
  <c r="E12" i="2"/>
  <c r="F12" i="2"/>
  <c r="G12" i="2"/>
  <c r="H12" i="2"/>
  <c r="I12" i="2"/>
  <c r="J12" i="2"/>
  <c r="B11" i="2"/>
  <c r="B12" i="2"/>
  <c r="B10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B4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C3" i="2"/>
  <c r="B6" i="2"/>
  <c r="C2" i="2"/>
  <c r="D2" i="2" s="1"/>
  <c r="C1" i="2"/>
  <c r="C7" i="2"/>
  <c r="K9" i="2" l="1"/>
  <c r="C10" i="2"/>
  <c r="C11" i="2"/>
  <c r="D6" i="2"/>
  <c r="E2" i="2"/>
  <c r="F2" i="2" s="1"/>
  <c r="G2" i="2" s="1"/>
  <c r="H2" i="2" s="1"/>
  <c r="I2" i="2" s="1"/>
  <c r="J2" i="2" s="1"/>
  <c r="K2" i="2" s="1"/>
  <c r="G6" i="2"/>
  <c r="L2" i="2"/>
  <c r="K6" i="2"/>
  <c r="I6" i="2"/>
  <c r="H6" i="2"/>
  <c r="F6" i="2"/>
  <c r="E6" i="2"/>
  <c r="J6" i="2"/>
  <c r="C6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" i="1"/>
  <c r="K10" i="2" l="1"/>
  <c r="L9" i="2"/>
  <c r="K11" i="2"/>
  <c r="K12" i="2"/>
  <c r="N5" i="2"/>
  <c r="T5" i="2"/>
  <c r="E5" i="2"/>
  <c r="H5" i="2"/>
  <c r="D5" i="2"/>
  <c r="F5" i="2"/>
  <c r="G5" i="2"/>
  <c r="S5" i="2"/>
  <c r="O5" i="2"/>
  <c r="Q5" i="2"/>
  <c r="R5" i="2"/>
  <c r="L5" i="2"/>
  <c r="K5" i="2"/>
  <c r="P5" i="2"/>
  <c r="I5" i="2"/>
  <c r="M5" i="2"/>
  <c r="J5" i="2"/>
  <c r="M2" i="2"/>
  <c r="L6" i="2"/>
  <c r="C5" i="2"/>
  <c r="B5" i="2"/>
  <c r="L10" i="2" l="1"/>
  <c r="L12" i="2"/>
  <c r="M9" i="2"/>
  <c r="L11" i="2"/>
  <c r="N2" i="2"/>
  <c r="M6" i="2"/>
  <c r="M10" i="2" l="1"/>
  <c r="N9" i="2"/>
  <c r="M12" i="2"/>
  <c r="M11" i="2"/>
  <c r="O2" i="2"/>
  <c r="N6" i="2"/>
  <c r="N10" i="2" l="1"/>
  <c r="N12" i="2"/>
  <c r="N11" i="2"/>
  <c r="O9" i="2"/>
  <c r="P2" i="2"/>
  <c r="O6" i="2"/>
  <c r="O10" i="2" l="1"/>
  <c r="P9" i="2"/>
  <c r="O11" i="2"/>
  <c r="O12" i="2"/>
  <c r="Q2" i="2"/>
  <c r="P6" i="2"/>
  <c r="P10" i="2" l="1"/>
  <c r="Q9" i="2"/>
  <c r="P12" i="2"/>
  <c r="P11" i="2"/>
  <c r="R2" i="2"/>
  <c r="Q6" i="2"/>
  <c r="Q11" i="2" l="1"/>
  <c r="Q10" i="2"/>
  <c r="R9" i="2"/>
  <c r="Q12" i="2"/>
  <c r="S2" i="2"/>
  <c r="R6" i="2"/>
  <c r="R11" i="2" l="1"/>
  <c r="R10" i="2"/>
  <c r="S9" i="2"/>
  <c r="R12" i="2"/>
  <c r="T2" i="2"/>
  <c r="T6" i="2" s="1"/>
  <c r="S6" i="2"/>
  <c r="S11" i="2" l="1"/>
  <c r="S10" i="2"/>
  <c r="S12" i="2"/>
  <c r="T9" i="2"/>
  <c r="T11" i="2" l="1"/>
  <c r="T12" i="2"/>
  <c r="T10" i="2"/>
</calcChain>
</file>

<file path=xl/sharedStrings.xml><?xml version="1.0" encoding="utf-8"?>
<sst xmlns="http://schemas.openxmlformats.org/spreadsheetml/2006/main" count="40" uniqueCount="37">
  <si>
    <t>Clé</t>
  </si>
  <si>
    <t>✅</t>
  </si>
  <si>
    <t>Vous</t>
  </si>
  <si>
    <t>pouvez</t>
  </si>
  <si>
    <t>copier-coller</t>
  </si>
  <si>
    <t>ce</t>
  </si>
  <si>
    <t>bloc</t>
  </si>
  <si>
    <t>directement</t>
  </si>
  <si>
    <t>dans</t>
  </si>
  <si>
    <t>Excel</t>
  </si>
  <si>
    <t>(il</t>
  </si>
  <si>
    <t>tabulations).</t>
  </si>
  <si>
    <t>Voulez-vous</t>
  </si>
  <si>
    <t>que</t>
  </si>
  <si>
    <t>je</t>
  </si>
  <si>
    <t>vous</t>
  </si>
  <si>
    <t>génère</t>
  </si>
  <si>
    <t>un</t>
  </si>
  <si>
    <t>fichier</t>
  </si>
  <si>
    <t>(.xlsx)</t>
  </si>
  <si>
    <t>prêt</t>
  </si>
  <si>
    <t>tableau</t>
  </si>
  <si>
    <t>?</t>
  </si>
  <si>
    <t>Nombre de part</t>
  </si>
  <si>
    <t>Prix de la part</t>
  </si>
  <si>
    <t>Durée du versement programmé</t>
  </si>
  <si>
    <t>Nombre de parts si pris en NP</t>
  </si>
  <si>
    <t>Nombre de parts si pris en PP</t>
  </si>
  <si>
    <t>Versement mensuel</t>
  </si>
  <si>
    <t>Nombre de parts si pris à crédit</t>
  </si>
  <si>
    <t>Durée (mois)</t>
  </si>
  <si>
    <t>Durée (années)</t>
  </si>
  <si>
    <t>Taux emprunt TAEG</t>
  </si>
  <si>
    <t>Loyer trimestriel si pris en PP</t>
  </si>
  <si>
    <t>Loyer trimestriel si pris en NP</t>
  </si>
  <si>
    <t>Loyer trimestriel si pris à crédit</t>
  </si>
  <si>
    <t>Loyer trimestriel par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</si>
</sst>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0.000"/>
    <numFmt numFmtId="169" formatCode="0.0%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0" fillId="0" borderId="0" xfId="1" applyNumberFormat="1" applyFont="1"/>
    <xf numFmtId="10" fontId="0" fillId="0" borderId="0" xfId="2" applyNumberFormat="1" applyFont="1"/>
    <xf numFmtId="165" fontId="0" fillId="0" borderId="0" xfId="0" applyNumberFormat="1"/>
    <xf numFmtId="169" fontId="0" fillId="0" borderId="0" xfId="2" applyNumberFormat="1" applyFont="1"/>
    <xf numFmtId="8" fontId="0" fillId="0" borderId="0" xfId="0" applyNumberFormat="1"/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NP VP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Calcul!$C$8:$T$8</c:f>
              <c:numCache>
                <c:formatCode>General</c:formatCode>
                <c:ptCount val="1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</c:numCache>
            </c:numRef>
          </c:xVal>
          <c:yVal>
            <c:numRef>
              <c:f>Calcul!$C$5:$T$5</c:f>
              <c:numCache>
                <c:formatCode>0.000</c:formatCode>
                <c:ptCount val="18"/>
                <c:pt idx="0">
                  <c:v>191.62961992522739</c:v>
                </c:pt>
                <c:pt idx="1">
                  <c:v>261.72936315691913</c:v>
                </c:pt>
                <c:pt idx="2">
                  <c:v>335.06362884367616</c:v>
                </c:pt>
                <c:pt idx="3">
                  <c:v>411.89688224502726</c:v>
                </c:pt>
                <c:pt idx="4">
                  <c:v>491.74894473969931</c:v>
                </c:pt>
                <c:pt idx="5">
                  <c:v>574.3019578799159</c:v>
                </c:pt>
                <c:pt idx="6">
                  <c:v>659.18576849060366</c:v>
                </c:pt>
                <c:pt idx="7">
                  <c:v>746.95112315580036</c:v>
                </c:pt>
                <c:pt idx="8">
                  <c:v>837.45250752385698</c:v>
                </c:pt>
                <c:pt idx="9">
                  <c:v>930.07915112270325</c:v>
                </c:pt>
                <c:pt idx="10">
                  <c:v>1024.631328538384</c:v>
                </c:pt>
                <c:pt idx="11">
                  <c:v>1120.6589341108256</c:v>
                </c:pt>
                <c:pt idx="12">
                  <c:v>1218.2855605521906</c:v>
                </c:pt>
                <c:pt idx="13">
                  <c:v>1317.4681385788695</c:v>
                </c:pt>
                <c:pt idx="14">
                  <c:v>1418.3786922712877</c:v>
                </c:pt>
                <c:pt idx="15">
                  <c:v>1521.0154765000864</c:v>
                </c:pt>
                <c:pt idx="16">
                  <c:v>1625.4415954694259</c:v>
                </c:pt>
                <c:pt idx="17">
                  <c:v>1731.7174237844501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C6-4A6E-9D00-CFE5B89055F4}"/>
            </c:ext>
          </c:extLst>
        </c:ser>
        <c:ser>
          <c:idx val="1"/>
          <c:order val="1"/>
          <c:tx>
            <c:v>NP crédit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Calcul!$C$8:$T$8</c:f>
              <c:numCache>
                <c:formatCode>General</c:formatCode>
                <c:ptCount val="1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</c:numCache>
            </c:numRef>
          </c:xVal>
          <c:yVal>
            <c:numRef>
              <c:f>Calcul!$C$6:$T$6</c:f>
              <c:numCache>
                <c:formatCode>0.000</c:formatCode>
                <c:ptCount val="18"/>
                <c:pt idx="0">
                  <c:v>195.00952380952381</c:v>
                </c:pt>
                <c:pt idx="1">
                  <c:v>266.25396825396825</c:v>
                </c:pt>
                <c:pt idx="2">
                  <c:v>343.55833333333334</c:v>
                </c:pt>
                <c:pt idx="3">
                  <c:v>423.90413943355122</c:v>
                </c:pt>
                <c:pt idx="4">
                  <c:v>502.73873873873873</c:v>
                </c:pt>
                <c:pt idx="5">
                  <c:v>584.79254079254076</c:v>
                </c:pt>
                <c:pt idx="6">
                  <c:v>660.91904761904766</c:v>
                </c:pt>
                <c:pt idx="7">
                  <c:v>754.67661691542287</c:v>
                </c:pt>
                <c:pt idx="8">
                  <c:v>835.33333333333326</c:v>
                </c:pt>
                <c:pt idx="9">
                  <c:v>917.546875</c:v>
                </c:pt>
                <c:pt idx="10">
                  <c:v>993.55555555555566</c:v>
                </c:pt>
                <c:pt idx="11">
                  <c:v>1069.8655913978496</c:v>
                </c:pt>
                <c:pt idx="12">
                  <c:v>1146.5792349726776</c:v>
                </c:pt>
                <c:pt idx="13">
                  <c:v>1223.7833333333333</c:v>
                </c:pt>
                <c:pt idx="14">
                  <c:v>1301.5762711864406</c:v>
                </c:pt>
                <c:pt idx="15">
                  <c:v>1380.0574712643679</c:v>
                </c:pt>
                <c:pt idx="16">
                  <c:v>1459.3333333333335</c:v>
                </c:pt>
                <c:pt idx="17">
                  <c:v>1539.5119047619046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C6-4A6E-9D00-CFE5B8905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251103"/>
        <c:axId val="1987249183"/>
      </c:scatterChart>
      <c:valAx>
        <c:axId val="1987251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Durée (années)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7249183"/>
        <c:crosses val="autoZero"/>
        <c:crossBetween val="midCat"/>
      </c:valAx>
      <c:valAx>
        <c:axId val="198724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 de parts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7251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11430</xdr:rowOff>
    </xdr:from>
    <xdr:to>
      <xdr:col>10</xdr:col>
      <xdr:colOff>754380</xdr:colOff>
      <xdr:row>40</xdr:row>
      <xdr:rowOff>30480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5FC357-82EE-2C88-0005-0A6AF0B57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4F04-B131-4C86-97EF-56B8B9B9D5BA}">
  <dimension ref="A1:T12"/>
  <sheetViews>
    <sheetView tabSelected="1" topLeftCell="A2" workbookViewId="0">
      <selection activeCell="C9" sqref="C9:T9"/>
    </sheetView>
  </sheetViews>
  <sheetFormatPr baseColWidth="10" defaultRowHeight="14.4"/>
  <cols>
    <col min="1" max="1" width="27" bestFit="1" customWidth="1"/>
    <col min="2" max="2" width="12.109375" customWidth="1"/>
  </cols>
  <sheetData>
    <row r="1" spans="1:20">
      <c r="A1" t="s">
        <v>24</v>
      </c>
      <c r="B1" s="4">
        <v>300</v>
      </c>
      <c r="C1" s="4">
        <f>B1</f>
        <v>300</v>
      </c>
      <c r="D1" s="4">
        <f t="shared" ref="D1:T1" si="0">C1</f>
        <v>300</v>
      </c>
      <c r="E1" s="4">
        <f t="shared" si="0"/>
        <v>300</v>
      </c>
      <c r="F1" s="4">
        <f t="shared" si="0"/>
        <v>300</v>
      </c>
      <c r="G1" s="4">
        <f t="shared" si="0"/>
        <v>300</v>
      </c>
      <c r="H1" s="4">
        <f t="shared" si="0"/>
        <v>300</v>
      </c>
      <c r="I1" s="4">
        <f t="shared" si="0"/>
        <v>300</v>
      </c>
      <c r="J1" s="4">
        <f t="shared" si="0"/>
        <v>300</v>
      </c>
      <c r="K1" s="4">
        <f t="shared" si="0"/>
        <v>300</v>
      </c>
      <c r="L1" s="4">
        <f t="shared" si="0"/>
        <v>300</v>
      </c>
      <c r="M1" s="4">
        <f t="shared" si="0"/>
        <v>300</v>
      </c>
      <c r="N1" s="4">
        <f t="shared" si="0"/>
        <v>300</v>
      </c>
      <c r="O1" s="4">
        <f t="shared" si="0"/>
        <v>300</v>
      </c>
      <c r="P1" s="4">
        <f t="shared" si="0"/>
        <v>300</v>
      </c>
      <c r="Q1" s="4">
        <f t="shared" si="0"/>
        <v>300</v>
      </c>
      <c r="R1" s="4">
        <f t="shared" si="0"/>
        <v>300</v>
      </c>
      <c r="S1" s="4">
        <f t="shared" si="0"/>
        <v>300</v>
      </c>
      <c r="T1" s="4">
        <f t="shared" si="0"/>
        <v>300</v>
      </c>
    </row>
    <row r="2" spans="1:20">
      <c r="A2" t="s">
        <v>28</v>
      </c>
      <c r="B2" s="4">
        <v>1500</v>
      </c>
      <c r="C2" s="4">
        <f>B2</f>
        <v>1500</v>
      </c>
      <c r="D2" s="4">
        <f t="shared" ref="D2:T2" si="1">C2</f>
        <v>1500</v>
      </c>
      <c r="E2" s="4">
        <f t="shared" si="1"/>
        <v>1500</v>
      </c>
      <c r="F2" s="4">
        <f t="shared" si="1"/>
        <v>1500</v>
      </c>
      <c r="G2" s="4">
        <f t="shared" si="1"/>
        <v>1500</v>
      </c>
      <c r="H2" s="4">
        <f t="shared" si="1"/>
        <v>1500</v>
      </c>
      <c r="I2" s="4">
        <f t="shared" si="1"/>
        <v>1500</v>
      </c>
      <c r="J2" s="4">
        <f t="shared" si="1"/>
        <v>1500</v>
      </c>
      <c r="K2" s="4">
        <f t="shared" si="1"/>
        <v>1500</v>
      </c>
      <c r="L2" s="4">
        <f t="shared" si="1"/>
        <v>1500</v>
      </c>
      <c r="M2" s="4">
        <f t="shared" si="1"/>
        <v>1500</v>
      </c>
      <c r="N2" s="4">
        <f t="shared" si="1"/>
        <v>1500</v>
      </c>
      <c r="O2" s="4">
        <f t="shared" si="1"/>
        <v>1500</v>
      </c>
      <c r="P2" s="4">
        <f t="shared" si="1"/>
        <v>1500</v>
      </c>
      <c r="Q2" s="4">
        <f t="shared" si="1"/>
        <v>1500</v>
      </c>
      <c r="R2" s="4">
        <f t="shared" si="1"/>
        <v>1500</v>
      </c>
      <c r="S2" s="4">
        <f t="shared" si="1"/>
        <v>1500</v>
      </c>
      <c r="T2" s="4">
        <f t="shared" si="1"/>
        <v>1500</v>
      </c>
    </row>
    <row r="3" spans="1:20">
      <c r="A3" t="s">
        <v>25</v>
      </c>
      <c r="B3">
        <v>150</v>
      </c>
      <c r="C3">
        <f>12*C8</f>
        <v>36</v>
      </c>
      <c r="D3">
        <f t="shared" ref="D3:T3" si="2">12*D8</f>
        <v>48</v>
      </c>
      <c r="E3">
        <f t="shared" si="2"/>
        <v>60</v>
      </c>
      <c r="F3">
        <f t="shared" si="2"/>
        <v>72</v>
      </c>
      <c r="G3">
        <f t="shared" si="2"/>
        <v>84</v>
      </c>
      <c r="H3">
        <f t="shared" si="2"/>
        <v>96</v>
      </c>
      <c r="I3">
        <f t="shared" si="2"/>
        <v>108</v>
      </c>
      <c r="J3">
        <f t="shared" si="2"/>
        <v>120</v>
      </c>
      <c r="K3">
        <f t="shared" si="2"/>
        <v>132</v>
      </c>
      <c r="L3">
        <f t="shared" si="2"/>
        <v>144</v>
      </c>
      <c r="M3">
        <f t="shared" si="2"/>
        <v>156</v>
      </c>
      <c r="N3">
        <f t="shared" si="2"/>
        <v>168</v>
      </c>
      <c r="O3">
        <f t="shared" si="2"/>
        <v>180</v>
      </c>
      <c r="P3">
        <f t="shared" si="2"/>
        <v>192</v>
      </c>
      <c r="Q3">
        <f t="shared" si="2"/>
        <v>204</v>
      </c>
      <c r="R3">
        <f t="shared" si="2"/>
        <v>216</v>
      </c>
      <c r="S3">
        <f t="shared" si="2"/>
        <v>228</v>
      </c>
      <c r="T3">
        <f t="shared" si="2"/>
        <v>240</v>
      </c>
    </row>
    <row r="4" spans="1:20">
      <c r="A4" t="s">
        <v>27</v>
      </c>
      <c r="B4">
        <f>B$2/B$1*B$3</f>
        <v>750</v>
      </c>
      <c r="C4">
        <f t="shared" ref="C4:U4" si="3">C$2/C$1*C$3</f>
        <v>180</v>
      </c>
      <c r="D4">
        <f t="shared" si="3"/>
        <v>240</v>
      </c>
      <c r="E4">
        <f t="shared" si="3"/>
        <v>300</v>
      </c>
      <c r="F4">
        <f t="shared" si="3"/>
        <v>360</v>
      </c>
      <c r="G4">
        <f t="shared" si="3"/>
        <v>420</v>
      </c>
      <c r="H4">
        <f t="shared" si="3"/>
        <v>480</v>
      </c>
      <c r="I4">
        <f t="shared" si="3"/>
        <v>540</v>
      </c>
      <c r="J4">
        <f t="shared" si="3"/>
        <v>600</v>
      </c>
      <c r="K4">
        <f t="shared" si="3"/>
        <v>660</v>
      </c>
      <c r="L4">
        <f t="shared" si="3"/>
        <v>720</v>
      </c>
      <c r="M4">
        <f t="shared" si="3"/>
        <v>780</v>
      </c>
      <c r="N4">
        <f t="shared" si="3"/>
        <v>840</v>
      </c>
      <c r="O4">
        <f t="shared" si="3"/>
        <v>900</v>
      </c>
      <c r="P4">
        <f t="shared" si="3"/>
        <v>960</v>
      </c>
      <c r="Q4">
        <f t="shared" si="3"/>
        <v>1020</v>
      </c>
      <c r="R4">
        <f t="shared" si="3"/>
        <v>1080</v>
      </c>
      <c r="S4">
        <f t="shared" si="3"/>
        <v>1140</v>
      </c>
      <c r="T4">
        <f t="shared" si="3"/>
        <v>1200</v>
      </c>
    </row>
    <row r="5" spans="1:20">
      <c r="A5" t="s">
        <v>26</v>
      </c>
      <c r="B5" s="6">
        <f>SUM(Ref!$C2:INDEX(Ref!$C:$C,MATCH(Calcul!B3,Ref!$A:$A,0)))</f>
        <v>977.16898939533223</v>
      </c>
      <c r="C5" s="6">
        <f>SUM(Ref!$C2:INDEX(Ref!$C:$C,MATCH(Calcul!C3,Ref!$A:$A,0)))</f>
        <v>191.62961992522739</v>
      </c>
      <c r="D5" s="6">
        <f>SUM(Ref!$C2:INDEX(Ref!$C:$C,MATCH(Calcul!D3,Ref!$A:$A,0)))</f>
        <v>261.72936315691913</v>
      </c>
      <c r="E5" s="6">
        <f>SUM(Ref!$C2:INDEX(Ref!$C:$C,MATCH(Calcul!E3,Ref!$A:$A,0)))</f>
        <v>335.06362884367616</v>
      </c>
      <c r="F5" s="6">
        <f>SUM(Ref!$C2:INDEX(Ref!$C:$C,MATCH(Calcul!F3,Ref!$A:$A,0)))</f>
        <v>411.89688224502726</v>
      </c>
      <c r="G5" s="6">
        <f>SUM(Ref!$C2:INDEX(Ref!$C:$C,MATCH(Calcul!G3,Ref!$A:$A,0)))</f>
        <v>491.74894473969931</v>
      </c>
      <c r="H5" s="6">
        <f>SUM(Ref!$C2:INDEX(Ref!$C:$C,MATCH(Calcul!H3,Ref!$A:$A,0)))</f>
        <v>574.3019578799159</v>
      </c>
      <c r="I5" s="6">
        <f>SUM(Ref!$C2:INDEX(Ref!$C:$C,MATCH(Calcul!I3,Ref!$A:$A,0)))</f>
        <v>659.18576849060366</v>
      </c>
      <c r="J5" s="6">
        <f>SUM(Ref!$C2:INDEX(Ref!$C:$C,MATCH(Calcul!J3,Ref!$A:$A,0)))</f>
        <v>746.95112315580036</v>
      </c>
      <c r="K5" s="6">
        <f>SUM(Ref!$C2:INDEX(Ref!$C:$C,MATCH(Calcul!K3,Ref!$A:$A,0)))</f>
        <v>837.45250752385698</v>
      </c>
      <c r="L5" s="6">
        <f>SUM(Ref!$C2:INDEX(Ref!$C:$C,MATCH(Calcul!L3,Ref!$A:$A,0)))</f>
        <v>930.07915112270325</v>
      </c>
      <c r="M5" s="6">
        <f>SUM(Ref!$C2:INDEX(Ref!$C:$C,MATCH(Calcul!M3,Ref!$A:$A,0)))</f>
        <v>1024.631328538384</v>
      </c>
      <c r="N5" s="6">
        <f>SUM(Ref!$C2:INDEX(Ref!$C:$C,MATCH(Calcul!N3,Ref!$A:$A,0)))</f>
        <v>1120.6589341108256</v>
      </c>
      <c r="O5" s="6">
        <f>SUM(Ref!$C2:INDEX(Ref!$C:$C,MATCH(Calcul!O3,Ref!$A:$A,0)))</f>
        <v>1218.2855605521906</v>
      </c>
      <c r="P5" s="6">
        <f>SUM(Ref!$C2:INDEX(Ref!$C:$C,MATCH(Calcul!P3,Ref!$A:$A,0)))</f>
        <v>1317.4681385788695</v>
      </c>
      <c r="Q5" s="6">
        <f>SUM(Ref!$C2:INDEX(Ref!$C:$C,MATCH(Calcul!Q3,Ref!$A:$A,0)))</f>
        <v>1418.3786922712877</v>
      </c>
      <c r="R5" s="6">
        <f>SUM(Ref!$C2:INDEX(Ref!$C:$C,MATCH(Calcul!R3,Ref!$A:$A,0)))</f>
        <v>1521.0154765000864</v>
      </c>
      <c r="S5" s="6">
        <f>SUM(Ref!$C2:INDEX(Ref!$C:$C,MATCH(Calcul!S3,Ref!$A:$A,0)))</f>
        <v>1625.4415954694259</v>
      </c>
      <c r="T5" s="6">
        <f>SUM(Ref!$C2:INDEX(Ref!$C:$C,MATCH(Calcul!T3,Ref!$A:$A,0)))</f>
        <v>1731.7174237844501</v>
      </c>
    </row>
    <row r="6" spans="1:20">
      <c r="A6" t="s">
        <v>29</v>
      </c>
      <c r="B6" s="6">
        <f>ROUNDDOWN(PV(B7/12,ROUNDDOWN(B3/12,0)*12,-B2),0)/B1/VLOOKUP(ROUNDDOWN(B3/12,0),Ref!$E$2:$F$19,2)</f>
        <v>917.546875</v>
      </c>
      <c r="C6" s="6">
        <f>ROUNDDOWN(PV(C7/12,ROUNDDOWN(C3/12,0)*12,-C2),0)/C1/VLOOKUP(ROUNDDOWN(C3/12,0),Ref!$E$2:$F$19,2)</f>
        <v>195.00952380952381</v>
      </c>
      <c r="D6" s="6">
        <f>ROUNDDOWN(PV(D7/12,ROUNDDOWN(D3/12,0)*12,-D2),0)/D1/VLOOKUP(ROUNDDOWN(D3/12,0),Ref!$E$2:$F$19,2)</f>
        <v>266.25396825396825</v>
      </c>
      <c r="E6" s="6">
        <f>ROUNDDOWN(PV(E7/12,ROUNDDOWN(E3/12,0)*12,-E2),0)/E1/VLOOKUP(ROUNDDOWN(E3/12,0),Ref!$E$2:$F$19,2)</f>
        <v>343.55833333333334</v>
      </c>
      <c r="F6" s="6">
        <f>ROUNDDOWN(PV(F7/12,ROUNDDOWN(F3/12,0)*12,-F2),0)/F1/VLOOKUP(ROUNDDOWN(F3/12,0),Ref!$E$2:$F$19,2)</f>
        <v>423.90413943355122</v>
      </c>
      <c r="G6" s="6">
        <f>ROUNDDOWN(PV(G7/12,ROUNDDOWN(G3/12,0)*12,-G2),0)/G1/VLOOKUP(ROUNDDOWN(G3/12,0),Ref!$E$2:$F$19,2)</f>
        <v>502.73873873873873</v>
      </c>
      <c r="H6" s="6">
        <f>ROUNDDOWN(PV(H7/12,ROUNDDOWN(H3/12,0)*12,-H2),0)/H1/VLOOKUP(ROUNDDOWN(H3/12,0),Ref!$E$2:$F$19,2)</f>
        <v>584.79254079254076</v>
      </c>
      <c r="I6" s="6">
        <f>ROUNDDOWN(PV(I7/12,ROUNDDOWN(I3/12,0)*12,-I2),0)/I1/VLOOKUP(ROUNDDOWN(I3/12,0),Ref!$E$2:$F$19,2)</f>
        <v>660.91904761904766</v>
      </c>
      <c r="J6" s="6">
        <f>ROUNDDOWN(PV(J7/12,ROUNDDOWN(J3/12,0)*12,-J2),0)/J1/VLOOKUP(ROUNDDOWN(J3/12,0),Ref!$E$2:$F$19,2)</f>
        <v>754.67661691542287</v>
      </c>
      <c r="K6" s="6">
        <f>ROUNDDOWN(PV(K7/12,ROUNDDOWN(K3/12,0)*12,-K2),0)/K1/VLOOKUP(ROUNDDOWN(K3/12,0),Ref!$E$2:$F$19,2)</f>
        <v>835.33333333333326</v>
      </c>
      <c r="L6" s="6">
        <f>ROUNDDOWN(PV(L7/12,ROUNDDOWN(L3/12,0)*12,-L2),0)/L1/VLOOKUP(ROUNDDOWN(L3/12,0),Ref!$E$2:$F$19,2)</f>
        <v>917.546875</v>
      </c>
      <c r="M6" s="6">
        <f>ROUNDDOWN(PV(M7/12,ROUNDDOWN(M3/12,0)*12,-M2),0)/M1/VLOOKUP(ROUNDDOWN(M3/12,0),Ref!$E$2:$F$19,2)</f>
        <v>993.55555555555566</v>
      </c>
      <c r="N6" s="6">
        <f>ROUNDDOWN(PV(N7/12,ROUNDDOWN(N3/12,0)*12,-N2),0)/N1/VLOOKUP(ROUNDDOWN(N3/12,0),Ref!$E$2:$F$19,2)</f>
        <v>1069.8655913978496</v>
      </c>
      <c r="O6" s="6">
        <f>ROUNDDOWN(PV(O7/12,ROUNDDOWN(O3/12,0)*12,-O2),0)/O1/VLOOKUP(ROUNDDOWN(O3/12,0),Ref!$E$2:$F$19,2)</f>
        <v>1146.5792349726776</v>
      </c>
      <c r="P6" s="6">
        <f>ROUNDDOWN(PV(P7/12,ROUNDDOWN(P3/12,0)*12,-P2),0)/P1/VLOOKUP(ROUNDDOWN(P3/12,0),Ref!$E$2:$F$19,2)</f>
        <v>1223.7833333333333</v>
      </c>
      <c r="Q6" s="6">
        <f>ROUNDDOWN(PV(Q7/12,ROUNDDOWN(Q3/12,0)*12,-Q2),0)/Q1/VLOOKUP(ROUNDDOWN(Q3/12,0),Ref!$E$2:$F$19,2)</f>
        <v>1301.5762711864406</v>
      </c>
      <c r="R6" s="6">
        <f>ROUNDDOWN(PV(R7/12,ROUNDDOWN(R3/12,0)*12,-R2),0)/R1/VLOOKUP(ROUNDDOWN(R3/12,0),Ref!$E$2:$F$19,2)</f>
        <v>1380.0574712643679</v>
      </c>
      <c r="S6" s="6">
        <f>ROUNDDOWN(PV(S7/12,ROUNDDOWN(S3/12,0)*12,-S2),0)/S1/VLOOKUP(ROUNDDOWN(S3/12,0),Ref!$E$2:$F$19,2)</f>
        <v>1459.3333333333335</v>
      </c>
      <c r="T6" s="6">
        <f>ROUNDDOWN(PV(T7/12,ROUNDDOWN(T3/12,0)*12,-T2),0)/T1/VLOOKUP(ROUNDDOWN(T3/12,0),Ref!$E$2:$F$19,2)</f>
        <v>1539.5119047619046</v>
      </c>
    </row>
    <row r="7" spans="1:20">
      <c r="A7" s="8" t="s">
        <v>32</v>
      </c>
      <c r="B7" s="7">
        <v>3.5000000000000003E-2</v>
      </c>
      <c r="C7" s="7">
        <f>B7</f>
        <v>3.5000000000000003E-2</v>
      </c>
      <c r="D7" s="7">
        <f t="shared" ref="D7:T7" si="4">C7</f>
        <v>3.5000000000000003E-2</v>
      </c>
      <c r="E7" s="7">
        <f t="shared" si="4"/>
        <v>3.5000000000000003E-2</v>
      </c>
      <c r="F7" s="7">
        <f t="shared" si="4"/>
        <v>3.5000000000000003E-2</v>
      </c>
      <c r="G7" s="7">
        <f t="shared" si="4"/>
        <v>3.5000000000000003E-2</v>
      </c>
      <c r="H7" s="7">
        <f t="shared" si="4"/>
        <v>3.5000000000000003E-2</v>
      </c>
      <c r="I7" s="7">
        <f t="shared" si="4"/>
        <v>3.5000000000000003E-2</v>
      </c>
      <c r="J7" s="7">
        <f t="shared" si="4"/>
        <v>3.5000000000000003E-2</v>
      </c>
      <c r="K7" s="7">
        <f t="shared" si="4"/>
        <v>3.5000000000000003E-2</v>
      </c>
      <c r="L7" s="7">
        <f t="shared" si="4"/>
        <v>3.5000000000000003E-2</v>
      </c>
      <c r="M7" s="7">
        <f t="shared" si="4"/>
        <v>3.5000000000000003E-2</v>
      </c>
      <c r="N7" s="7">
        <f t="shared" si="4"/>
        <v>3.5000000000000003E-2</v>
      </c>
      <c r="O7" s="7">
        <f t="shared" si="4"/>
        <v>3.5000000000000003E-2</v>
      </c>
      <c r="P7" s="7">
        <f t="shared" si="4"/>
        <v>3.5000000000000003E-2</v>
      </c>
      <c r="Q7" s="7">
        <f t="shared" si="4"/>
        <v>3.5000000000000003E-2</v>
      </c>
      <c r="R7" s="7">
        <f t="shared" si="4"/>
        <v>3.5000000000000003E-2</v>
      </c>
      <c r="S7" s="7">
        <f t="shared" si="4"/>
        <v>3.5000000000000003E-2</v>
      </c>
      <c r="T7" s="7">
        <f t="shared" si="4"/>
        <v>3.5000000000000003E-2</v>
      </c>
    </row>
    <row r="8" spans="1:20"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  <c r="O8">
        <v>15</v>
      </c>
      <c r="P8">
        <v>16</v>
      </c>
      <c r="Q8">
        <v>17</v>
      </c>
      <c r="R8">
        <v>18</v>
      </c>
      <c r="S8">
        <v>19</v>
      </c>
      <c r="T8">
        <v>20</v>
      </c>
    </row>
    <row r="9" spans="1:20">
      <c r="A9" t="s">
        <v>36</v>
      </c>
      <c r="B9">
        <v>4.5</v>
      </c>
      <c r="C9">
        <f>B9</f>
        <v>4.5</v>
      </c>
      <c r="D9">
        <f t="shared" ref="D9:T9" si="5">C9</f>
        <v>4.5</v>
      </c>
      <c r="E9">
        <f t="shared" si="5"/>
        <v>4.5</v>
      </c>
      <c r="F9">
        <f t="shared" si="5"/>
        <v>4.5</v>
      </c>
      <c r="G9">
        <f t="shared" si="5"/>
        <v>4.5</v>
      </c>
      <c r="H9">
        <f t="shared" si="5"/>
        <v>4.5</v>
      </c>
      <c r="I9">
        <f t="shared" si="5"/>
        <v>4.5</v>
      </c>
      <c r="J9">
        <f t="shared" si="5"/>
        <v>4.5</v>
      </c>
      <c r="K9">
        <f t="shared" si="5"/>
        <v>4.5</v>
      </c>
      <c r="L9">
        <f t="shared" si="5"/>
        <v>4.5</v>
      </c>
      <c r="M9">
        <f t="shared" si="5"/>
        <v>4.5</v>
      </c>
      <c r="N9">
        <f t="shared" si="5"/>
        <v>4.5</v>
      </c>
      <c r="O9">
        <f t="shared" si="5"/>
        <v>4.5</v>
      </c>
      <c r="P9">
        <f t="shared" si="5"/>
        <v>4.5</v>
      </c>
      <c r="Q9">
        <f t="shared" si="5"/>
        <v>4.5</v>
      </c>
      <c r="R9">
        <f t="shared" si="5"/>
        <v>4.5</v>
      </c>
      <c r="S9">
        <f t="shared" si="5"/>
        <v>4.5</v>
      </c>
      <c r="T9">
        <f t="shared" si="5"/>
        <v>4.5</v>
      </c>
    </row>
    <row r="10" spans="1:20">
      <c r="A10" t="s">
        <v>33</v>
      </c>
      <c r="B10">
        <f>B$9*B4</f>
        <v>3375</v>
      </c>
      <c r="C10">
        <f t="shared" ref="C10:T12" si="6">C$9*C4</f>
        <v>810</v>
      </c>
      <c r="D10">
        <f t="shared" si="6"/>
        <v>1080</v>
      </c>
      <c r="E10">
        <f t="shared" si="6"/>
        <v>1350</v>
      </c>
      <c r="F10">
        <f t="shared" si="6"/>
        <v>1620</v>
      </c>
      <c r="G10">
        <f t="shared" si="6"/>
        <v>1890</v>
      </c>
      <c r="H10">
        <f t="shared" si="6"/>
        <v>2160</v>
      </c>
      <c r="I10">
        <f t="shared" si="6"/>
        <v>2430</v>
      </c>
      <c r="J10">
        <f t="shared" si="6"/>
        <v>2700</v>
      </c>
      <c r="K10">
        <f t="shared" si="6"/>
        <v>2970</v>
      </c>
      <c r="L10">
        <f t="shared" si="6"/>
        <v>3240</v>
      </c>
      <c r="M10">
        <f t="shared" si="6"/>
        <v>3510</v>
      </c>
      <c r="N10">
        <f t="shared" si="6"/>
        <v>3780</v>
      </c>
      <c r="O10">
        <f t="shared" si="6"/>
        <v>4050</v>
      </c>
      <c r="P10">
        <f t="shared" si="6"/>
        <v>4320</v>
      </c>
      <c r="Q10">
        <f t="shared" si="6"/>
        <v>4590</v>
      </c>
      <c r="R10">
        <f t="shared" si="6"/>
        <v>4860</v>
      </c>
      <c r="S10">
        <f t="shared" si="6"/>
        <v>5130</v>
      </c>
      <c r="T10">
        <f t="shared" si="6"/>
        <v>5400</v>
      </c>
    </row>
    <row r="11" spans="1:20">
      <c r="A11" t="s">
        <v>34</v>
      </c>
      <c r="B11">
        <f t="shared" ref="B11:Q12" si="7">B$9*B5</f>
        <v>4397.2604522789952</v>
      </c>
      <c r="C11">
        <f t="shared" si="7"/>
        <v>862.33328966352326</v>
      </c>
      <c r="D11">
        <f t="shared" si="7"/>
        <v>1177.7821342061361</v>
      </c>
      <c r="E11">
        <f t="shared" si="7"/>
        <v>1507.7863297965428</v>
      </c>
      <c r="F11">
        <f t="shared" si="7"/>
        <v>1853.5359701026227</v>
      </c>
      <c r="G11">
        <f t="shared" si="7"/>
        <v>2212.8702513286471</v>
      </c>
      <c r="H11">
        <f t="shared" si="7"/>
        <v>2584.3588104596215</v>
      </c>
      <c r="I11">
        <f t="shared" si="7"/>
        <v>2966.3359582077164</v>
      </c>
      <c r="J11">
        <f t="shared" si="7"/>
        <v>3361.2800542011018</v>
      </c>
      <c r="K11">
        <f t="shared" si="7"/>
        <v>3768.5362838573565</v>
      </c>
      <c r="L11">
        <f t="shared" si="7"/>
        <v>4185.3561800521647</v>
      </c>
      <c r="M11">
        <f t="shared" si="7"/>
        <v>4610.8409784227279</v>
      </c>
      <c r="N11">
        <f t="shared" si="7"/>
        <v>5042.9652034987157</v>
      </c>
      <c r="O11">
        <f t="shared" si="7"/>
        <v>5482.285022484858</v>
      </c>
      <c r="P11">
        <f t="shared" si="7"/>
        <v>5928.6066236049128</v>
      </c>
      <c r="Q11">
        <f t="shared" si="7"/>
        <v>6382.7041152207948</v>
      </c>
      <c r="R11">
        <f t="shared" si="6"/>
        <v>6844.5696442503886</v>
      </c>
      <c r="S11">
        <f t="shared" si="6"/>
        <v>7314.4871796124171</v>
      </c>
      <c r="T11">
        <f t="shared" si="6"/>
        <v>7792.7284070300257</v>
      </c>
    </row>
    <row r="12" spans="1:20">
      <c r="A12" t="s">
        <v>35</v>
      </c>
      <c r="B12">
        <f t="shared" si="7"/>
        <v>4128.9609375</v>
      </c>
      <c r="C12">
        <f t="shared" si="6"/>
        <v>877.5428571428572</v>
      </c>
      <c r="D12">
        <f t="shared" si="6"/>
        <v>1198.1428571428571</v>
      </c>
      <c r="E12">
        <f t="shared" si="6"/>
        <v>1546.0125</v>
      </c>
      <c r="F12">
        <f t="shared" si="6"/>
        <v>1907.5686274509806</v>
      </c>
      <c r="G12">
        <f t="shared" si="6"/>
        <v>2262.3243243243242</v>
      </c>
      <c r="H12">
        <f t="shared" si="6"/>
        <v>2631.5664335664333</v>
      </c>
      <c r="I12">
        <f t="shared" si="6"/>
        <v>2974.1357142857146</v>
      </c>
      <c r="J12">
        <f t="shared" si="6"/>
        <v>3396.0447761194027</v>
      </c>
      <c r="K12">
        <f t="shared" si="6"/>
        <v>3758.9999999999995</v>
      </c>
      <c r="L12">
        <f t="shared" si="6"/>
        <v>4128.9609375</v>
      </c>
      <c r="M12">
        <f t="shared" si="6"/>
        <v>4471</v>
      </c>
      <c r="N12">
        <f t="shared" si="6"/>
        <v>4814.3951612903229</v>
      </c>
      <c r="O12">
        <f t="shared" si="6"/>
        <v>5159.6065573770493</v>
      </c>
      <c r="P12">
        <f t="shared" si="6"/>
        <v>5507.0249999999996</v>
      </c>
      <c r="Q12">
        <f t="shared" si="6"/>
        <v>5857.093220338983</v>
      </c>
      <c r="R12">
        <f t="shared" si="6"/>
        <v>6210.2586206896558</v>
      </c>
      <c r="S12">
        <f t="shared" si="6"/>
        <v>6567.0000000000009</v>
      </c>
      <c r="T12">
        <f t="shared" si="6"/>
        <v>6927.8035714285706</v>
      </c>
    </row>
  </sheetData>
  <pageMargins left="0.7" right="0.7" top="0.75" bottom="0.75" header="0.3" footer="0.3"/>
  <headerFooter>
    <oddFooter>&amp;L_x000D_&amp;1#&amp;"Aptos"&amp;10&amp;K008000 Confidential -C2-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386D-8747-423A-8903-E4EF37B0D014}">
  <dimension ref="A1:P244"/>
  <sheetViews>
    <sheetView workbookViewId="0">
      <selection activeCell="F2" sqref="F2:F19"/>
    </sheetView>
  </sheetViews>
  <sheetFormatPr baseColWidth="10" defaultRowHeight="14.4"/>
  <cols>
    <col min="3" max="3" width="13.44140625" bestFit="1" customWidth="1"/>
  </cols>
  <sheetData>
    <row r="1" spans="1:6">
      <c r="A1" s="3" t="s">
        <v>30</v>
      </c>
      <c r="B1" t="s">
        <v>0</v>
      </c>
      <c r="C1" t="s">
        <v>23</v>
      </c>
      <c r="E1" s="3" t="s">
        <v>31</v>
      </c>
      <c r="F1" t="s">
        <v>0</v>
      </c>
    </row>
    <row r="2" spans="1:6">
      <c r="A2" s="3">
        <v>1</v>
      </c>
      <c r="B2" s="5">
        <v>1</v>
      </c>
      <c r="C2">
        <f>Calcul!$B$2/Calcul!$B$1/Ref!B2</f>
        <v>5</v>
      </c>
      <c r="E2" s="3">
        <v>3</v>
      </c>
      <c r="F2" s="5">
        <v>0.875</v>
      </c>
    </row>
    <row r="3" spans="1:6">
      <c r="A3" s="3">
        <v>2</v>
      </c>
      <c r="B3" s="5">
        <v>1</v>
      </c>
      <c r="C3">
        <f>Calcul!$B$2/Calcul!$B$1/Ref!B3</f>
        <v>5</v>
      </c>
      <c r="E3" s="3">
        <v>4</v>
      </c>
      <c r="F3" s="5">
        <v>0.84</v>
      </c>
    </row>
    <row r="4" spans="1:6">
      <c r="A4" s="3">
        <v>3</v>
      </c>
      <c r="B4" s="5">
        <v>1</v>
      </c>
      <c r="C4">
        <f>Calcul!$B$2/Calcul!$B$1/Ref!B4</f>
        <v>5</v>
      </c>
      <c r="E4" s="3">
        <v>5</v>
      </c>
      <c r="F4" s="5">
        <v>0.8</v>
      </c>
    </row>
    <row r="5" spans="1:6">
      <c r="A5" s="3">
        <v>4</v>
      </c>
      <c r="B5" s="5">
        <v>1</v>
      </c>
      <c r="C5">
        <f>Calcul!$B$2/Calcul!$B$1/Ref!B5</f>
        <v>5</v>
      </c>
      <c r="E5" s="3">
        <v>6</v>
      </c>
      <c r="F5" s="5">
        <v>0.76500000000000001</v>
      </c>
    </row>
    <row r="6" spans="1:6">
      <c r="A6" s="3">
        <v>5</v>
      </c>
      <c r="B6" s="5">
        <v>1</v>
      </c>
      <c r="C6">
        <f>Calcul!$B$2/Calcul!$B$1/Ref!B6</f>
        <v>5</v>
      </c>
      <c r="E6" s="3">
        <v>7</v>
      </c>
      <c r="F6" s="5">
        <v>0.74</v>
      </c>
    </row>
    <row r="7" spans="1:6">
      <c r="A7" s="3">
        <v>6</v>
      </c>
      <c r="B7" s="5">
        <v>1</v>
      </c>
      <c r="C7">
        <f>Calcul!$B$2/Calcul!$B$1/Ref!B7</f>
        <v>5</v>
      </c>
      <c r="E7" s="3">
        <v>8</v>
      </c>
      <c r="F7" s="5">
        <v>0.71499999999999997</v>
      </c>
    </row>
    <row r="8" spans="1:6">
      <c r="A8" s="3">
        <v>7</v>
      </c>
      <c r="B8" s="5">
        <v>1</v>
      </c>
      <c r="C8">
        <f>Calcul!$B$2/Calcul!$B$1/Ref!B8</f>
        <v>5</v>
      </c>
      <c r="E8" s="3">
        <v>9</v>
      </c>
      <c r="F8" s="5">
        <v>0.7</v>
      </c>
    </row>
    <row r="9" spans="1:6">
      <c r="A9" s="3">
        <v>8</v>
      </c>
      <c r="B9" s="5">
        <v>1</v>
      </c>
      <c r="C9">
        <f>Calcul!$B$2/Calcul!$B$1/Ref!B9</f>
        <v>5</v>
      </c>
      <c r="E9" s="3">
        <v>10</v>
      </c>
      <c r="F9" s="5">
        <v>0.67</v>
      </c>
    </row>
    <row r="10" spans="1:6">
      <c r="A10" s="3">
        <v>9</v>
      </c>
      <c r="B10" s="5">
        <v>1</v>
      </c>
      <c r="C10">
        <f>Calcul!$B$2/Calcul!$B$1/Ref!B10</f>
        <v>5</v>
      </c>
      <c r="E10" s="3">
        <v>11</v>
      </c>
      <c r="F10" s="5">
        <v>0.65500000000000003</v>
      </c>
    </row>
    <row r="11" spans="1:6">
      <c r="A11" s="3">
        <v>10</v>
      </c>
      <c r="B11" s="5">
        <v>1</v>
      </c>
      <c r="C11">
        <f>Calcul!$B$2/Calcul!$B$1/Ref!B11</f>
        <v>5</v>
      </c>
      <c r="E11" s="3">
        <v>12</v>
      </c>
      <c r="F11" s="5">
        <v>0.64</v>
      </c>
    </row>
    <row r="12" spans="1:6">
      <c r="A12" s="3">
        <v>11</v>
      </c>
      <c r="B12" s="5">
        <v>1</v>
      </c>
      <c r="C12">
        <f>Calcul!$B$2/Calcul!$B$1/Ref!B12</f>
        <v>5</v>
      </c>
      <c r="E12" s="3">
        <v>13</v>
      </c>
      <c r="F12" s="5">
        <v>0.63</v>
      </c>
    </row>
    <row r="13" spans="1:6">
      <c r="A13" s="3">
        <v>12</v>
      </c>
      <c r="B13" s="5">
        <v>0.95</v>
      </c>
      <c r="C13">
        <f>Calcul!$B$2/Calcul!$B$1/Ref!B13</f>
        <v>5.2631578947368425</v>
      </c>
      <c r="E13" s="3">
        <v>14</v>
      </c>
      <c r="F13" s="5">
        <v>0.62</v>
      </c>
    </row>
    <row r="14" spans="1:6">
      <c r="A14" s="3">
        <v>13</v>
      </c>
      <c r="B14" s="5">
        <v>0.94750000000000001</v>
      </c>
      <c r="C14">
        <f>Calcul!$B$2/Calcul!$B$1/Ref!B14</f>
        <v>5.2770448548812663</v>
      </c>
      <c r="E14" s="3">
        <v>15</v>
      </c>
      <c r="F14" s="5">
        <v>0.61</v>
      </c>
    </row>
    <row r="15" spans="1:6">
      <c r="A15" s="3">
        <v>14</v>
      </c>
      <c r="B15" s="5">
        <v>0.94499999999999995</v>
      </c>
      <c r="C15">
        <f>Calcul!$B$2/Calcul!$B$1/Ref!B15</f>
        <v>5.2910052910052912</v>
      </c>
      <c r="E15" s="3">
        <v>16</v>
      </c>
      <c r="F15" s="5">
        <v>0.6</v>
      </c>
    </row>
    <row r="16" spans="1:6">
      <c r="A16" s="3">
        <v>15</v>
      </c>
      <c r="B16" s="5">
        <v>0.9425</v>
      </c>
      <c r="C16">
        <f>Calcul!$B$2/Calcul!$B$1/Ref!B16</f>
        <v>5.3050397877984086</v>
      </c>
      <c r="E16" s="3">
        <v>17</v>
      </c>
      <c r="F16" s="5">
        <v>0.59</v>
      </c>
    </row>
    <row r="17" spans="1:6">
      <c r="A17" s="3">
        <v>16</v>
      </c>
      <c r="B17" s="5">
        <v>0.94</v>
      </c>
      <c r="C17">
        <f>Calcul!$B$2/Calcul!$B$1/Ref!B17</f>
        <v>5.3191489361702127</v>
      </c>
      <c r="E17" s="3">
        <v>18</v>
      </c>
      <c r="F17" s="5">
        <v>0.57999999999999996</v>
      </c>
    </row>
    <row r="18" spans="1:6">
      <c r="A18" s="3">
        <v>17</v>
      </c>
      <c r="B18" s="5">
        <v>0.9375</v>
      </c>
      <c r="C18">
        <f>Calcul!$B$2/Calcul!$B$1/Ref!B18</f>
        <v>5.333333333333333</v>
      </c>
      <c r="E18" s="3">
        <v>19</v>
      </c>
      <c r="F18" s="5">
        <v>0.56999999999999995</v>
      </c>
    </row>
    <row r="19" spans="1:6">
      <c r="A19" s="3">
        <v>18</v>
      </c>
      <c r="B19" s="5">
        <v>0.93500000000000005</v>
      </c>
      <c r="C19">
        <f>Calcul!$B$2/Calcul!$B$1/Ref!B19</f>
        <v>5.3475935828877006</v>
      </c>
      <c r="E19" s="3">
        <v>20</v>
      </c>
      <c r="F19" s="5">
        <v>0.56000000000000005</v>
      </c>
    </row>
    <row r="20" spans="1:6">
      <c r="A20" s="3">
        <v>19</v>
      </c>
      <c r="B20" s="5">
        <v>0.9325</v>
      </c>
      <c r="C20">
        <f>Calcul!$B$2/Calcul!$B$1/Ref!B20</f>
        <v>5.3619302949061662</v>
      </c>
    </row>
    <row r="21" spans="1:6">
      <c r="A21" s="3">
        <v>20</v>
      </c>
      <c r="B21" s="5">
        <v>0.93</v>
      </c>
      <c r="C21">
        <f>Calcul!$B$2/Calcul!$B$1/Ref!B21</f>
        <v>5.376344086021505</v>
      </c>
    </row>
    <row r="22" spans="1:6">
      <c r="A22" s="3">
        <v>21</v>
      </c>
      <c r="B22" s="5">
        <v>0.92749999999999999</v>
      </c>
      <c r="C22">
        <f>Calcul!$B$2/Calcul!$B$1/Ref!B22</f>
        <v>5.3908355795148246</v>
      </c>
      <c r="E22" s="1"/>
    </row>
    <row r="23" spans="1:6">
      <c r="A23" s="3">
        <v>22</v>
      </c>
      <c r="B23" s="5">
        <v>0.92500000000000004</v>
      </c>
      <c r="C23">
        <f>Calcul!$B$2/Calcul!$B$1/Ref!B23</f>
        <v>5.4054054054054053</v>
      </c>
      <c r="E23" s="2"/>
    </row>
    <row r="24" spans="1:6">
      <c r="A24" s="3">
        <v>23</v>
      </c>
      <c r="B24" s="5">
        <v>0.92249999999999999</v>
      </c>
      <c r="C24">
        <f>Calcul!$B$2/Calcul!$B$1/Ref!B24</f>
        <v>5.4200542005420056</v>
      </c>
      <c r="E24" s="1"/>
    </row>
    <row r="25" spans="1:6">
      <c r="A25" s="3">
        <v>24</v>
      </c>
      <c r="B25" s="5">
        <v>0.92</v>
      </c>
      <c r="C25">
        <f>Calcul!$B$2/Calcul!$B$1/Ref!B25</f>
        <v>5.4347826086956523</v>
      </c>
      <c r="E25" s="2"/>
    </row>
    <row r="26" spans="1:6">
      <c r="A26" s="3">
        <v>25</v>
      </c>
      <c r="B26" s="5">
        <v>0.91600000000000004</v>
      </c>
      <c r="C26">
        <f>Calcul!$B$2/Calcul!$B$1/Ref!B26</f>
        <v>5.4585152838427948</v>
      </c>
    </row>
    <row r="27" spans="1:6">
      <c r="A27" s="3">
        <v>26</v>
      </c>
      <c r="B27" s="5">
        <v>0.91200000000000003</v>
      </c>
      <c r="C27">
        <f>Calcul!$B$2/Calcul!$B$1/Ref!B27</f>
        <v>5.4824561403508767</v>
      </c>
    </row>
    <row r="28" spans="1:6">
      <c r="A28" s="3">
        <v>27</v>
      </c>
      <c r="B28" s="5">
        <v>0.90800000000000003</v>
      </c>
      <c r="C28">
        <f>Calcul!$B$2/Calcul!$B$1/Ref!B28</f>
        <v>5.5066079295154182</v>
      </c>
    </row>
    <row r="29" spans="1:6">
      <c r="A29" s="3">
        <v>28</v>
      </c>
      <c r="B29" s="5">
        <v>0.90400000000000003</v>
      </c>
      <c r="C29">
        <f>Calcul!$B$2/Calcul!$B$1/Ref!B29</f>
        <v>5.5309734513274336</v>
      </c>
    </row>
    <row r="30" spans="1:6">
      <c r="A30" s="3">
        <v>29</v>
      </c>
      <c r="B30" s="5">
        <v>0.9</v>
      </c>
      <c r="C30">
        <f>Calcul!$B$2/Calcul!$B$1/Ref!B30</f>
        <v>5.5555555555555554</v>
      </c>
    </row>
    <row r="31" spans="1:6">
      <c r="A31" s="3">
        <v>30</v>
      </c>
      <c r="B31" s="5">
        <v>0.89600000000000002</v>
      </c>
      <c r="C31">
        <f>Calcul!$B$2/Calcul!$B$1/Ref!B31</f>
        <v>5.5803571428571423</v>
      </c>
    </row>
    <row r="32" spans="1:6">
      <c r="A32" s="3">
        <v>31</v>
      </c>
      <c r="B32" s="5">
        <v>0.89200000000000002</v>
      </c>
      <c r="C32">
        <f>Calcul!$B$2/Calcul!$B$1/Ref!B32</f>
        <v>5.6053811659192823</v>
      </c>
    </row>
    <row r="33" spans="1:3">
      <c r="A33" s="3">
        <v>32</v>
      </c>
      <c r="B33" s="5">
        <v>0.88800000000000001</v>
      </c>
      <c r="C33">
        <f>Calcul!$B$2/Calcul!$B$1/Ref!B33</f>
        <v>5.6306306306306304</v>
      </c>
    </row>
    <row r="34" spans="1:3">
      <c r="A34" s="3">
        <v>33</v>
      </c>
      <c r="B34" s="5">
        <v>0.88400000000000001</v>
      </c>
      <c r="C34">
        <f>Calcul!$B$2/Calcul!$B$1/Ref!B34</f>
        <v>5.6561085972850682</v>
      </c>
    </row>
    <row r="35" spans="1:3">
      <c r="A35" s="3">
        <v>34</v>
      </c>
      <c r="B35" s="5">
        <v>0.88</v>
      </c>
      <c r="C35">
        <f>Calcul!$B$2/Calcul!$B$1/Ref!B35</f>
        <v>5.6818181818181817</v>
      </c>
    </row>
    <row r="36" spans="1:3">
      <c r="A36" s="3">
        <v>35</v>
      </c>
      <c r="B36" s="5">
        <v>0.877</v>
      </c>
      <c r="C36">
        <f>Calcul!$B$2/Calcul!$B$1/Ref!B36</f>
        <v>5.7012542759407072</v>
      </c>
    </row>
    <row r="37" spans="1:3">
      <c r="A37" s="3">
        <v>36</v>
      </c>
      <c r="B37" s="5">
        <v>0.875</v>
      </c>
      <c r="C37">
        <f>Calcul!$B$2/Calcul!$B$1/Ref!B37</f>
        <v>5.7142857142857144</v>
      </c>
    </row>
    <row r="38" spans="1:3">
      <c r="A38" s="3">
        <v>37</v>
      </c>
      <c r="B38" s="5">
        <v>0.87209999999999999</v>
      </c>
      <c r="C38">
        <f>Calcul!$B$2/Calcul!$B$1/Ref!B38</f>
        <v>5.7332874670335974</v>
      </c>
    </row>
    <row r="39" spans="1:3">
      <c r="A39" s="3">
        <v>38</v>
      </c>
      <c r="B39" s="5">
        <v>0.86919999999999997</v>
      </c>
      <c r="C39">
        <f>Calcul!$B$2/Calcul!$B$1/Ref!B39</f>
        <v>5.7524160147261849</v>
      </c>
    </row>
    <row r="40" spans="1:3">
      <c r="A40" s="3">
        <v>39</v>
      </c>
      <c r="B40" s="5">
        <v>0.86619999999999997</v>
      </c>
      <c r="C40">
        <f>Calcul!$B$2/Calcul!$B$1/Ref!B40</f>
        <v>5.7723389517432464</v>
      </c>
    </row>
    <row r="41" spans="1:3">
      <c r="A41" s="3">
        <v>40</v>
      </c>
      <c r="B41" s="5">
        <v>0.86329999999999996</v>
      </c>
      <c r="C41">
        <f>Calcul!$B$2/Calcul!$B$1/Ref!B41</f>
        <v>5.7917294104019463</v>
      </c>
    </row>
    <row r="42" spans="1:3">
      <c r="A42" s="3">
        <v>41</v>
      </c>
      <c r="B42" s="5">
        <v>0.86040000000000005</v>
      </c>
      <c r="C42">
        <f>Calcul!$B$2/Calcul!$B$1/Ref!B42</f>
        <v>5.8112505811250577</v>
      </c>
    </row>
    <row r="43" spans="1:3">
      <c r="A43" s="3">
        <v>42</v>
      </c>
      <c r="B43" s="5">
        <v>0.85750000000000004</v>
      </c>
      <c r="C43">
        <f>Calcul!$B$2/Calcul!$B$1/Ref!B43</f>
        <v>5.8309037900874632</v>
      </c>
    </row>
    <row r="44" spans="1:3">
      <c r="A44" s="3">
        <v>43</v>
      </c>
      <c r="B44" s="5">
        <v>0.85460000000000003</v>
      </c>
      <c r="C44">
        <f>Calcul!$B$2/Calcul!$B$1/Ref!B44</f>
        <v>5.8506903814650126</v>
      </c>
    </row>
    <row r="45" spans="1:3">
      <c r="A45" s="3">
        <v>44</v>
      </c>
      <c r="B45" s="5">
        <v>0.85170000000000001</v>
      </c>
      <c r="C45">
        <f>Calcul!$B$2/Calcul!$B$1/Ref!B45</f>
        <v>5.8706117177409887</v>
      </c>
    </row>
    <row r="46" spans="1:3">
      <c r="A46" s="3">
        <v>45</v>
      </c>
      <c r="B46" s="5">
        <v>0.8488</v>
      </c>
      <c r="C46">
        <f>Calcul!$B$2/Calcul!$B$1/Ref!B46</f>
        <v>5.8906691800188504</v>
      </c>
    </row>
    <row r="47" spans="1:3">
      <c r="A47" s="3">
        <v>46</v>
      </c>
      <c r="B47" s="5">
        <v>0.8458</v>
      </c>
      <c r="C47">
        <f>Calcul!$B$2/Calcul!$B$1/Ref!B47</f>
        <v>5.9115630172617637</v>
      </c>
    </row>
    <row r="48" spans="1:3">
      <c r="A48" s="3">
        <v>47</v>
      </c>
      <c r="B48" s="5">
        <v>0.84289999999999998</v>
      </c>
      <c r="C48">
        <f>Calcul!$B$2/Calcul!$B$1/Ref!B48</f>
        <v>5.9319017677067265</v>
      </c>
    </row>
    <row r="49" spans="1:3">
      <c r="A49" s="3">
        <v>48</v>
      </c>
      <c r="B49" s="5">
        <v>0.84</v>
      </c>
      <c r="C49">
        <f>Calcul!$B$2/Calcul!$B$1/Ref!B49</f>
        <v>5.9523809523809526</v>
      </c>
    </row>
    <row r="50" spans="1:3">
      <c r="A50" s="3">
        <v>49</v>
      </c>
      <c r="B50" s="5">
        <v>0.8367</v>
      </c>
      <c r="C50">
        <f>Calcul!$B$2/Calcul!$B$1/Ref!B50</f>
        <v>5.9758575355563526</v>
      </c>
    </row>
    <row r="51" spans="1:3">
      <c r="A51" s="3">
        <v>50</v>
      </c>
      <c r="B51" s="5">
        <v>0.83330000000000004</v>
      </c>
      <c r="C51">
        <f>Calcul!$B$2/Calcul!$B$1/Ref!B51</f>
        <v>6.0002400096003834</v>
      </c>
    </row>
    <row r="52" spans="1:3">
      <c r="A52" s="3">
        <v>51</v>
      </c>
      <c r="B52" s="5">
        <v>0.83</v>
      </c>
      <c r="C52">
        <f>Calcul!$B$2/Calcul!$B$1/Ref!B52</f>
        <v>6.024096385542169</v>
      </c>
    </row>
    <row r="53" spans="1:3">
      <c r="A53" s="3">
        <v>52</v>
      </c>
      <c r="B53" s="5">
        <v>0.82669999999999999</v>
      </c>
      <c r="C53">
        <f>Calcul!$B$2/Calcul!$B$1/Ref!B53</f>
        <v>6.0481432200314504</v>
      </c>
    </row>
    <row r="54" spans="1:3">
      <c r="A54" s="3">
        <v>53</v>
      </c>
      <c r="B54" s="5">
        <v>0.82330000000000003</v>
      </c>
      <c r="C54">
        <f>Calcul!$B$2/Calcul!$B$1/Ref!B54</f>
        <v>6.0731203692457179</v>
      </c>
    </row>
    <row r="55" spans="1:3">
      <c r="A55" s="3">
        <v>54</v>
      </c>
      <c r="B55" s="5">
        <v>0.82</v>
      </c>
      <c r="C55">
        <f>Calcul!$B$2/Calcul!$B$1/Ref!B55</f>
        <v>6.0975609756097562</v>
      </c>
    </row>
    <row r="56" spans="1:3">
      <c r="A56" s="3">
        <v>55</v>
      </c>
      <c r="B56" s="5">
        <v>0.81669999999999998</v>
      </c>
      <c r="C56">
        <f>Calcul!$B$2/Calcul!$B$1/Ref!B56</f>
        <v>6.1221990939145341</v>
      </c>
    </row>
    <row r="57" spans="1:3">
      <c r="A57" s="3">
        <v>56</v>
      </c>
      <c r="B57" s="5">
        <v>0.81330000000000002</v>
      </c>
      <c r="C57">
        <f>Calcul!$B$2/Calcul!$B$1/Ref!B57</f>
        <v>6.1477929423337017</v>
      </c>
    </row>
    <row r="58" spans="1:3">
      <c r="A58" s="3">
        <v>57</v>
      </c>
      <c r="B58" s="5">
        <v>0.81</v>
      </c>
      <c r="C58">
        <f>Calcul!$B$2/Calcul!$B$1/Ref!B58</f>
        <v>6.1728395061728394</v>
      </c>
    </row>
    <row r="59" spans="1:3">
      <c r="A59" s="3">
        <v>58</v>
      </c>
      <c r="B59" s="5">
        <v>0.80669999999999997</v>
      </c>
      <c r="C59">
        <f>Calcul!$B$2/Calcul!$B$1/Ref!B59</f>
        <v>6.1980909879757036</v>
      </c>
    </row>
    <row r="60" spans="1:3">
      <c r="A60" s="3">
        <v>59</v>
      </c>
      <c r="B60" s="5">
        <v>0.80330000000000001</v>
      </c>
      <c r="C60">
        <f>Calcul!$B$2/Calcul!$B$1/Ref!B60</f>
        <v>6.2243246607743057</v>
      </c>
    </row>
    <row r="61" spans="1:3">
      <c r="A61" s="3">
        <v>60</v>
      </c>
      <c r="B61" s="5">
        <v>0.8</v>
      </c>
      <c r="C61">
        <f>Calcul!$B$2/Calcul!$B$1/Ref!B61</f>
        <v>6.25</v>
      </c>
    </row>
    <row r="62" spans="1:3">
      <c r="A62" s="3">
        <v>61</v>
      </c>
      <c r="B62" s="5">
        <v>0.79710000000000003</v>
      </c>
      <c r="C62">
        <f>Calcul!$B$2/Calcul!$B$1/Ref!B62</f>
        <v>6.2727386777066867</v>
      </c>
    </row>
    <row r="63" spans="1:3">
      <c r="A63" s="3">
        <v>62</v>
      </c>
      <c r="B63" s="5">
        <v>0.79420000000000002</v>
      </c>
      <c r="C63">
        <f>Calcul!$B$2/Calcul!$B$1/Ref!B63</f>
        <v>6.295643414756988</v>
      </c>
    </row>
    <row r="64" spans="1:3">
      <c r="A64" s="3">
        <v>63</v>
      </c>
      <c r="B64" s="5">
        <v>0.79120000000000001</v>
      </c>
      <c r="C64">
        <f>Calcul!$B$2/Calcul!$B$1/Ref!B64</f>
        <v>6.3195146612740141</v>
      </c>
    </row>
    <row r="65" spans="1:3">
      <c r="A65" s="3">
        <v>64</v>
      </c>
      <c r="B65" s="5">
        <v>0.7883</v>
      </c>
      <c r="C65">
        <f>Calcul!$B$2/Calcul!$B$1/Ref!B65</f>
        <v>6.3427629075225171</v>
      </c>
    </row>
    <row r="66" spans="1:3">
      <c r="A66" s="3">
        <v>65</v>
      </c>
      <c r="B66" s="5">
        <v>0.78539999999999999</v>
      </c>
      <c r="C66">
        <f>Calcul!$B$2/Calcul!$B$1/Ref!B66</f>
        <v>6.3661828367710722</v>
      </c>
    </row>
    <row r="67" spans="1:3">
      <c r="A67" s="3">
        <v>66</v>
      </c>
      <c r="B67" s="5">
        <v>0.78249999999999997</v>
      </c>
      <c r="C67">
        <f>Calcul!$B$2/Calcul!$B$1/Ref!B67</f>
        <v>6.3897763578274764</v>
      </c>
    </row>
    <row r="68" spans="1:3">
      <c r="A68" s="3">
        <v>67</v>
      </c>
      <c r="B68" s="5">
        <v>0.77959999999999996</v>
      </c>
      <c r="C68">
        <f>Calcul!$B$2/Calcul!$B$1/Ref!B68</f>
        <v>6.4135454079014886</v>
      </c>
    </row>
    <row r="69" spans="1:3">
      <c r="A69" s="3">
        <v>68</v>
      </c>
      <c r="B69" s="5">
        <v>0.77669999999999995</v>
      </c>
      <c r="C69">
        <f>Calcul!$B$2/Calcul!$B$1/Ref!B69</f>
        <v>6.4374919531350594</v>
      </c>
    </row>
    <row r="70" spans="1:3">
      <c r="A70" s="3">
        <v>69</v>
      </c>
      <c r="B70" s="5">
        <v>0.77380000000000004</v>
      </c>
      <c r="C70">
        <f>Calcul!$B$2/Calcul!$B$1/Ref!B70</f>
        <v>6.4616179891444814</v>
      </c>
    </row>
    <row r="71" spans="1:3">
      <c r="A71" s="3">
        <v>70</v>
      </c>
      <c r="B71" s="5">
        <v>0.77080000000000004</v>
      </c>
      <c r="C71">
        <f>Calcul!$B$2/Calcul!$B$1/Ref!B71</f>
        <v>6.4867669953295275</v>
      </c>
    </row>
    <row r="72" spans="1:3">
      <c r="A72" s="3">
        <v>71</v>
      </c>
      <c r="B72" s="5">
        <v>0.76790000000000003</v>
      </c>
      <c r="C72">
        <f>Calcul!$B$2/Calcul!$B$1/Ref!B72</f>
        <v>6.5112644875634844</v>
      </c>
    </row>
    <row r="73" spans="1:3">
      <c r="A73" s="3">
        <v>72</v>
      </c>
      <c r="B73" s="5">
        <v>0.76500000000000001</v>
      </c>
      <c r="C73">
        <f>Calcul!$B$2/Calcul!$B$1/Ref!B73</f>
        <v>6.5359477124183005</v>
      </c>
    </row>
    <row r="74" spans="1:3">
      <c r="A74" s="3">
        <v>73</v>
      </c>
      <c r="B74" s="5">
        <v>0.76290000000000002</v>
      </c>
      <c r="C74">
        <f>Calcul!$B$2/Calcul!$B$1/Ref!B74</f>
        <v>6.5539389172892903</v>
      </c>
    </row>
    <row r="75" spans="1:3">
      <c r="A75" s="3">
        <v>74</v>
      </c>
      <c r="B75" s="5">
        <v>0.76080000000000003</v>
      </c>
      <c r="C75">
        <f>Calcul!$B$2/Calcul!$B$1/Ref!B75</f>
        <v>6.5720294426919033</v>
      </c>
    </row>
    <row r="76" spans="1:3">
      <c r="A76" s="3">
        <v>75</v>
      </c>
      <c r="B76" s="5">
        <v>0.75880000000000003</v>
      </c>
      <c r="C76">
        <f>Calcul!$B$2/Calcul!$B$1/Ref!B76</f>
        <v>6.5893516078017917</v>
      </c>
    </row>
    <row r="77" spans="1:3">
      <c r="A77" s="3">
        <v>76</v>
      </c>
      <c r="B77" s="5">
        <v>0.75670000000000004</v>
      </c>
      <c r="C77">
        <f>Calcul!$B$2/Calcul!$B$1/Ref!B77</f>
        <v>6.6076384300251085</v>
      </c>
    </row>
    <row r="78" spans="1:3">
      <c r="A78" s="3">
        <v>77</v>
      </c>
      <c r="B78" s="5">
        <v>0.75460000000000005</v>
      </c>
      <c r="C78">
        <f>Calcul!$B$2/Calcul!$B$1/Ref!B78</f>
        <v>6.6260270341902991</v>
      </c>
    </row>
    <row r="79" spans="1:3">
      <c r="A79" s="3">
        <v>78</v>
      </c>
      <c r="B79" s="5">
        <v>0.75249999999999995</v>
      </c>
      <c r="C79">
        <f>Calcul!$B$2/Calcul!$B$1/Ref!B79</f>
        <v>6.6445182724252501</v>
      </c>
    </row>
    <row r="80" spans="1:3">
      <c r="A80" s="3">
        <v>79</v>
      </c>
      <c r="B80" s="5">
        <v>0.75039999999999996</v>
      </c>
      <c r="C80">
        <f>Calcul!$B$2/Calcul!$B$1/Ref!B80</f>
        <v>6.6631130063965891</v>
      </c>
    </row>
    <row r="81" spans="1:3">
      <c r="A81" s="3">
        <v>80</v>
      </c>
      <c r="B81" s="5">
        <v>0.74829999999999997</v>
      </c>
      <c r="C81">
        <f>Calcul!$B$2/Calcul!$B$1/Ref!B81</f>
        <v>6.6818121074435393</v>
      </c>
    </row>
    <row r="82" spans="1:3">
      <c r="A82" s="3">
        <v>81</v>
      </c>
      <c r="B82" s="5">
        <v>0.74619999999999997</v>
      </c>
      <c r="C82">
        <f>Calcul!$B$2/Calcul!$B$1/Ref!B82</f>
        <v>6.7006164567140178</v>
      </c>
    </row>
    <row r="83" spans="1:3">
      <c r="A83" s="3">
        <v>82</v>
      </c>
      <c r="B83" s="5">
        <v>0.74419999999999997</v>
      </c>
      <c r="C83">
        <f>Calcul!$B$2/Calcul!$B$1/Ref!B83</f>
        <v>6.7186240257995165</v>
      </c>
    </row>
    <row r="84" spans="1:3">
      <c r="A84" s="3">
        <v>83</v>
      </c>
      <c r="B84" s="5">
        <v>0.74209999999999998</v>
      </c>
      <c r="C84">
        <f>Calcul!$B$2/Calcul!$B$1/Ref!B84</f>
        <v>6.7376364371378523</v>
      </c>
    </row>
    <row r="85" spans="1:3">
      <c r="A85" s="3">
        <v>84</v>
      </c>
      <c r="B85" s="5">
        <v>0.74</v>
      </c>
      <c r="C85">
        <f>Calcul!$B$2/Calcul!$B$1/Ref!B85</f>
        <v>6.756756756756757</v>
      </c>
    </row>
    <row r="86" spans="1:3">
      <c r="A86" s="3">
        <v>85</v>
      </c>
      <c r="B86" s="5">
        <v>0.73799999999999999</v>
      </c>
      <c r="C86">
        <f>Calcul!$B$2/Calcul!$B$1/Ref!B86</f>
        <v>6.7750677506775068</v>
      </c>
    </row>
    <row r="87" spans="1:3">
      <c r="A87" s="3">
        <v>86</v>
      </c>
      <c r="B87" s="5">
        <v>0.73599999999999999</v>
      </c>
      <c r="C87">
        <f>Calcul!$B$2/Calcul!$B$1/Ref!B87</f>
        <v>6.7934782608695654</v>
      </c>
    </row>
    <row r="88" spans="1:3">
      <c r="A88" s="3">
        <v>87</v>
      </c>
      <c r="B88" s="5">
        <v>0.73399999999999999</v>
      </c>
      <c r="C88">
        <f>Calcul!$B$2/Calcul!$B$1/Ref!B88</f>
        <v>6.8119891008174385</v>
      </c>
    </row>
    <row r="89" spans="1:3">
      <c r="A89" s="3">
        <v>88</v>
      </c>
      <c r="B89" s="5">
        <v>0.73199999999999998</v>
      </c>
      <c r="C89">
        <f>Calcul!$B$2/Calcul!$B$1/Ref!B89</f>
        <v>6.8306010928961749</v>
      </c>
    </row>
    <row r="90" spans="1:3">
      <c r="A90" s="3">
        <v>89</v>
      </c>
      <c r="B90" s="5">
        <v>0.73</v>
      </c>
      <c r="C90">
        <f>Calcul!$B$2/Calcul!$B$1/Ref!B90</f>
        <v>6.8493150684931505</v>
      </c>
    </row>
    <row r="91" spans="1:3">
      <c r="A91" s="3">
        <v>90</v>
      </c>
      <c r="B91" s="5">
        <v>0.72799999999999998</v>
      </c>
      <c r="C91">
        <f>Calcul!$B$2/Calcul!$B$1/Ref!B91</f>
        <v>6.8681318681318686</v>
      </c>
    </row>
    <row r="92" spans="1:3">
      <c r="A92" s="3">
        <v>91</v>
      </c>
      <c r="B92" s="5">
        <v>0.72599999999999998</v>
      </c>
      <c r="C92">
        <f>Calcul!$B$2/Calcul!$B$1/Ref!B92</f>
        <v>6.887052341597796</v>
      </c>
    </row>
    <row r="93" spans="1:3">
      <c r="A93" s="3">
        <v>92</v>
      </c>
      <c r="B93" s="5">
        <v>0.72399999999999998</v>
      </c>
      <c r="C93">
        <f>Calcul!$B$2/Calcul!$B$1/Ref!B93</f>
        <v>6.9060773480662982</v>
      </c>
    </row>
    <row r="94" spans="1:3">
      <c r="A94" s="3">
        <v>93</v>
      </c>
      <c r="B94" s="5">
        <v>0.72199999999999998</v>
      </c>
      <c r="C94">
        <f>Calcul!$B$2/Calcul!$B$1/Ref!B94</f>
        <v>6.9252077562326875</v>
      </c>
    </row>
    <row r="95" spans="1:3">
      <c r="A95" s="3">
        <v>94</v>
      </c>
      <c r="B95" s="5">
        <v>0.72</v>
      </c>
      <c r="C95">
        <f>Calcul!$B$2/Calcul!$B$1/Ref!B95</f>
        <v>6.9444444444444446</v>
      </c>
    </row>
    <row r="96" spans="1:3">
      <c r="A96" s="3">
        <v>95</v>
      </c>
      <c r="B96" s="5">
        <v>0.71750000000000003</v>
      </c>
      <c r="C96">
        <f>Calcul!$B$2/Calcul!$B$1/Ref!B96</f>
        <v>6.968641114982578</v>
      </c>
    </row>
    <row r="97" spans="1:3">
      <c r="A97" s="3">
        <v>96</v>
      </c>
      <c r="B97" s="5">
        <v>0.71499999999999997</v>
      </c>
      <c r="C97">
        <f>Calcul!$B$2/Calcul!$B$1/Ref!B97</f>
        <v>6.9930069930069934</v>
      </c>
    </row>
    <row r="98" spans="1:3">
      <c r="A98" s="3">
        <v>97</v>
      </c>
      <c r="B98" s="5">
        <v>0.71379999999999999</v>
      </c>
      <c r="C98">
        <f>Calcul!$B$2/Calcul!$B$1/Ref!B98</f>
        <v>7.0047632390025214</v>
      </c>
    </row>
    <row r="99" spans="1:3">
      <c r="A99" s="3">
        <v>98</v>
      </c>
      <c r="B99" s="5">
        <v>0.71250000000000002</v>
      </c>
      <c r="C99">
        <f>Calcul!$B$2/Calcul!$B$1/Ref!B99</f>
        <v>7.0175438596491224</v>
      </c>
    </row>
    <row r="100" spans="1:3">
      <c r="A100" s="3">
        <v>99</v>
      </c>
      <c r="B100" s="5">
        <v>0.71120000000000005</v>
      </c>
      <c r="C100">
        <f>Calcul!$B$2/Calcul!$B$1/Ref!B100</f>
        <v>7.0303712035995494</v>
      </c>
    </row>
    <row r="101" spans="1:3">
      <c r="A101" s="3">
        <v>100</v>
      </c>
      <c r="B101" s="5">
        <v>0.71</v>
      </c>
      <c r="C101">
        <f>Calcul!$B$2/Calcul!$B$1/Ref!B101</f>
        <v>7.042253521126761</v>
      </c>
    </row>
    <row r="102" spans="1:3">
      <c r="A102" s="3">
        <v>101</v>
      </c>
      <c r="B102" s="5">
        <v>0.70879999999999999</v>
      </c>
      <c r="C102">
        <f>Calcul!$B$2/Calcul!$B$1/Ref!B102</f>
        <v>7.0541760722347631</v>
      </c>
    </row>
    <row r="103" spans="1:3">
      <c r="A103" s="3">
        <v>102</v>
      </c>
      <c r="B103" s="5">
        <v>0.70750000000000002</v>
      </c>
      <c r="C103">
        <f>Calcul!$B$2/Calcul!$B$1/Ref!B103</f>
        <v>7.0671378091872787</v>
      </c>
    </row>
    <row r="104" spans="1:3">
      <c r="A104" s="3">
        <v>103</v>
      </c>
      <c r="B104" s="5">
        <v>0.70620000000000005</v>
      </c>
      <c r="C104">
        <f>Calcul!$B$2/Calcul!$B$1/Ref!B104</f>
        <v>7.080147267063154</v>
      </c>
    </row>
    <row r="105" spans="1:3">
      <c r="A105" s="3">
        <v>104</v>
      </c>
      <c r="B105" s="5">
        <v>0.70499999999999996</v>
      </c>
      <c r="C105">
        <f>Calcul!$B$2/Calcul!$B$1/Ref!B105</f>
        <v>7.0921985815602842</v>
      </c>
    </row>
    <row r="106" spans="1:3">
      <c r="A106" s="3">
        <v>105</v>
      </c>
      <c r="B106" s="5">
        <v>0.70379999999999998</v>
      </c>
      <c r="C106">
        <f>Calcul!$B$2/Calcul!$B$1/Ref!B106</f>
        <v>7.1042909917590222</v>
      </c>
    </row>
    <row r="107" spans="1:3">
      <c r="A107" s="3">
        <v>106</v>
      </c>
      <c r="B107" s="5">
        <v>0.70250000000000001</v>
      </c>
      <c r="C107">
        <f>Calcul!$B$2/Calcul!$B$1/Ref!B107</f>
        <v>7.117437722419929</v>
      </c>
    </row>
    <row r="108" spans="1:3">
      <c r="A108" s="3">
        <v>107</v>
      </c>
      <c r="B108" s="5">
        <v>0.70120000000000005</v>
      </c>
      <c r="C108">
        <f>Calcul!$B$2/Calcul!$B$1/Ref!B108</f>
        <v>7.1306332002281794</v>
      </c>
    </row>
    <row r="109" spans="1:3">
      <c r="A109" s="3">
        <v>108</v>
      </c>
      <c r="B109" s="5">
        <v>0.7</v>
      </c>
      <c r="C109">
        <f>Calcul!$B$2/Calcul!$B$1/Ref!B109</f>
        <v>7.1428571428571432</v>
      </c>
    </row>
    <row r="110" spans="1:3">
      <c r="A110" s="3">
        <v>109</v>
      </c>
      <c r="B110" s="5">
        <v>0.69750000000000001</v>
      </c>
      <c r="C110">
        <f>Calcul!$B$2/Calcul!$B$1/Ref!B110</f>
        <v>7.1684587813620073</v>
      </c>
    </row>
    <row r="111" spans="1:3">
      <c r="A111" s="3">
        <v>110</v>
      </c>
      <c r="B111" s="5">
        <v>0.69499999999999995</v>
      </c>
      <c r="C111">
        <f>Calcul!$B$2/Calcul!$B$1/Ref!B111</f>
        <v>7.1942446043165473</v>
      </c>
    </row>
    <row r="112" spans="1:3">
      <c r="A112" s="3">
        <v>111</v>
      </c>
      <c r="B112" s="5">
        <v>0.6925</v>
      </c>
      <c r="C112">
        <f>Calcul!$B$2/Calcul!$B$1/Ref!B112</f>
        <v>7.2202166064981945</v>
      </c>
    </row>
    <row r="113" spans="1:3">
      <c r="A113" s="3">
        <v>112</v>
      </c>
      <c r="B113" s="5">
        <v>0.69</v>
      </c>
      <c r="C113">
        <f>Calcul!$B$2/Calcul!$B$1/Ref!B113</f>
        <v>7.2463768115942031</v>
      </c>
    </row>
    <row r="114" spans="1:3">
      <c r="A114" s="3">
        <v>113</v>
      </c>
      <c r="B114" s="5">
        <v>0.6875</v>
      </c>
      <c r="C114">
        <f>Calcul!$B$2/Calcul!$B$1/Ref!B114</f>
        <v>7.2727272727272725</v>
      </c>
    </row>
    <row r="115" spans="1:3">
      <c r="A115" s="3">
        <v>114</v>
      </c>
      <c r="B115" s="5">
        <v>0.68500000000000005</v>
      </c>
      <c r="C115">
        <f>Calcul!$B$2/Calcul!$B$1/Ref!B115</f>
        <v>7.2992700729926998</v>
      </c>
    </row>
    <row r="116" spans="1:3">
      <c r="A116" s="3">
        <v>115</v>
      </c>
      <c r="B116" s="5">
        <v>0.6825</v>
      </c>
      <c r="C116">
        <f>Calcul!$B$2/Calcul!$B$1/Ref!B116</f>
        <v>7.3260073260073257</v>
      </c>
    </row>
    <row r="117" spans="1:3">
      <c r="A117" s="3">
        <v>116</v>
      </c>
      <c r="B117" s="5">
        <v>0.68</v>
      </c>
      <c r="C117">
        <f>Calcul!$B$2/Calcul!$B$1/Ref!B117</f>
        <v>7.3529411764705879</v>
      </c>
    </row>
    <row r="118" spans="1:3">
      <c r="A118" s="3">
        <v>117</v>
      </c>
      <c r="B118" s="5">
        <v>0.67749999999999999</v>
      </c>
      <c r="C118">
        <f>Calcul!$B$2/Calcul!$B$1/Ref!B118</f>
        <v>7.3800738007380078</v>
      </c>
    </row>
    <row r="119" spans="1:3">
      <c r="A119" s="3">
        <v>118</v>
      </c>
      <c r="B119" s="5">
        <v>0.67500000000000004</v>
      </c>
      <c r="C119">
        <f>Calcul!$B$2/Calcul!$B$1/Ref!B119</f>
        <v>7.4074074074074066</v>
      </c>
    </row>
    <row r="120" spans="1:3">
      <c r="A120" s="3">
        <v>119</v>
      </c>
      <c r="B120" s="5">
        <v>0.67249999999999999</v>
      </c>
      <c r="C120">
        <f>Calcul!$B$2/Calcul!$B$1/Ref!B120</f>
        <v>7.4349442379182156</v>
      </c>
    </row>
    <row r="121" spans="1:3">
      <c r="A121" s="3">
        <v>120</v>
      </c>
      <c r="B121" s="5">
        <v>0.67</v>
      </c>
      <c r="C121">
        <f>Calcul!$B$2/Calcul!$B$1/Ref!B121</f>
        <v>7.4626865671641784</v>
      </c>
    </row>
    <row r="122" spans="1:3">
      <c r="A122" s="3">
        <v>121</v>
      </c>
      <c r="B122" s="5">
        <v>0.66900000000000004</v>
      </c>
      <c r="C122">
        <f>Calcul!$B$2/Calcul!$B$1/Ref!B122</f>
        <v>7.4738415545590433</v>
      </c>
    </row>
    <row r="123" spans="1:3">
      <c r="A123" s="3">
        <v>122</v>
      </c>
      <c r="B123" s="5">
        <v>0.66800000000000004</v>
      </c>
      <c r="C123">
        <f>Calcul!$B$2/Calcul!$B$1/Ref!B123</f>
        <v>7.4850299401197598</v>
      </c>
    </row>
    <row r="124" spans="1:3">
      <c r="A124" s="3">
        <v>123</v>
      </c>
      <c r="B124" s="5">
        <v>0.66700000000000004</v>
      </c>
      <c r="C124">
        <f>Calcul!$B$2/Calcul!$B$1/Ref!B124</f>
        <v>7.4962518740629678</v>
      </c>
    </row>
    <row r="125" spans="1:3">
      <c r="A125" s="3">
        <v>124</v>
      </c>
      <c r="B125" s="5">
        <v>0.66600000000000004</v>
      </c>
      <c r="C125">
        <f>Calcul!$B$2/Calcul!$B$1/Ref!B125</f>
        <v>7.5075075075075075</v>
      </c>
    </row>
    <row r="126" spans="1:3">
      <c r="A126" s="3">
        <v>125</v>
      </c>
      <c r="B126" s="5">
        <v>0.66500000000000004</v>
      </c>
      <c r="C126">
        <f>Calcul!$B$2/Calcul!$B$1/Ref!B126</f>
        <v>7.518796992481203</v>
      </c>
    </row>
    <row r="127" spans="1:3">
      <c r="A127" s="3">
        <v>126</v>
      </c>
      <c r="B127" s="5">
        <v>0.66400000000000003</v>
      </c>
      <c r="C127">
        <f>Calcul!$B$2/Calcul!$B$1/Ref!B127</f>
        <v>7.5301204819277103</v>
      </c>
    </row>
    <row r="128" spans="1:3">
      <c r="A128" s="3">
        <v>127</v>
      </c>
      <c r="B128" s="5">
        <v>0.66300000000000003</v>
      </c>
      <c r="C128">
        <f>Calcul!$B$2/Calcul!$B$1/Ref!B128</f>
        <v>7.5414781297134237</v>
      </c>
    </row>
    <row r="129" spans="1:3">
      <c r="A129" s="3">
        <v>128</v>
      </c>
      <c r="B129" s="5">
        <v>0.66200000000000003</v>
      </c>
      <c r="C129">
        <f>Calcul!$B$2/Calcul!$B$1/Ref!B129</f>
        <v>7.5528700906344408</v>
      </c>
    </row>
    <row r="130" spans="1:3">
      <c r="A130" s="3">
        <v>129</v>
      </c>
      <c r="B130" s="5">
        <v>0.66100000000000003</v>
      </c>
      <c r="C130">
        <f>Calcul!$B$2/Calcul!$B$1/Ref!B130</f>
        <v>7.5642965204235999</v>
      </c>
    </row>
    <row r="131" spans="1:3">
      <c r="A131" s="3">
        <v>130</v>
      </c>
      <c r="B131" s="5">
        <v>0.65900000000000003</v>
      </c>
      <c r="C131">
        <f>Calcul!$B$2/Calcul!$B$1/Ref!B131</f>
        <v>7.587253414264036</v>
      </c>
    </row>
    <row r="132" spans="1:3">
      <c r="A132" s="3">
        <v>131</v>
      </c>
      <c r="B132" s="5">
        <v>0.65700000000000003</v>
      </c>
      <c r="C132">
        <f>Calcul!$B$2/Calcul!$B$1/Ref!B132</f>
        <v>7.6103500761035008</v>
      </c>
    </row>
    <row r="133" spans="1:3">
      <c r="A133" s="3">
        <v>132</v>
      </c>
      <c r="B133" s="5">
        <v>0.65500000000000003</v>
      </c>
      <c r="C133">
        <f>Calcul!$B$2/Calcul!$B$1/Ref!B133</f>
        <v>7.6335877862595414</v>
      </c>
    </row>
    <row r="134" spans="1:3">
      <c r="A134" s="3">
        <v>133</v>
      </c>
      <c r="B134" s="5">
        <v>0.65400000000000003</v>
      </c>
      <c r="C134">
        <f>Calcul!$B$2/Calcul!$B$1/Ref!B134</f>
        <v>7.6452599388379205</v>
      </c>
    </row>
    <row r="135" spans="1:3">
      <c r="A135" s="3">
        <v>134</v>
      </c>
      <c r="B135" s="5">
        <v>0.65300000000000002</v>
      </c>
      <c r="C135">
        <f>Calcul!$B$2/Calcul!$B$1/Ref!B135</f>
        <v>7.656967840735069</v>
      </c>
    </row>
    <row r="136" spans="1:3">
      <c r="A136" s="3">
        <v>135</v>
      </c>
      <c r="B136" s="5">
        <v>0.65200000000000002</v>
      </c>
      <c r="C136">
        <f>Calcul!$B$2/Calcul!$B$1/Ref!B136</f>
        <v>7.6687116564417179</v>
      </c>
    </row>
    <row r="137" spans="1:3">
      <c r="A137" s="3">
        <v>136</v>
      </c>
      <c r="B137" s="5">
        <v>0.65100000000000002</v>
      </c>
      <c r="C137">
        <f>Calcul!$B$2/Calcul!$B$1/Ref!B137</f>
        <v>7.6804915514592933</v>
      </c>
    </row>
    <row r="138" spans="1:3">
      <c r="A138" s="3">
        <v>137</v>
      </c>
      <c r="B138" s="5">
        <v>0.65</v>
      </c>
      <c r="C138">
        <f>Calcul!$B$2/Calcul!$B$1/Ref!B138</f>
        <v>7.6923076923076916</v>
      </c>
    </row>
    <row r="139" spans="1:3">
      <c r="A139" s="3">
        <v>138</v>
      </c>
      <c r="B139" s="5">
        <v>0.64900000000000002</v>
      </c>
      <c r="C139">
        <f>Calcul!$B$2/Calcul!$B$1/Ref!B139</f>
        <v>7.704160246533128</v>
      </c>
    </row>
    <row r="140" spans="1:3">
      <c r="A140" s="3">
        <v>139</v>
      </c>
      <c r="B140" s="5">
        <v>0.64800000000000002</v>
      </c>
      <c r="C140">
        <f>Calcul!$B$2/Calcul!$B$1/Ref!B140</f>
        <v>7.716049382716049</v>
      </c>
    </row>
    <row r="141" spans="1:3">
      <c r="A141" s="3">
        <v>140</v>
      </c>
      <c r="B141" s="5">
        <v>0.64700000000000002</v>
      </c>
      <c r="C141">
        <f>Calcul!$B$2/Calcul!$B$1/Ref!B141</f>
        <v>7.727975270479134</v>
      </c>
    </row>
    <row r="142" spans="1:3">
      <c r="A142" s="3">
        <v>141</v>
      </c>
      <c r="B142" s="5">
        <v>0.64500000000000002</v>
      </c>
      <c r="C142">
        <f>Calcul!$B$2/Calcul!$B$1/Ref!B142</f>
        <v>7.7519379844961236</v>
      </c>
    </row>
    <row r="143" spans="1:3">
      <c r="A143" s="3">
        <v>142</v>
      </c>
      <c r="B143" s="5">
        <v>0.64300000000000002</v>
      </c>
      <c r="C143">
        <f>Calcul!$B$2/Calcul!$B$1/Ref!B143</f>
        <v>7.7760497667185069</v>
      </c>
    </row>
    <row r="144" spans="1:3">
      <c r="A144" s="3">
        <v>143</v>
      </c>
      <c r="B144" s="5">
        <v>0.64149999999999996</v>
      </c>
      <c r="C144">
        <f>Calcul!$B$2/Calcul!$B$1/Ref!B144</f>
        <v>7.7942322681215908</v>
      </c>
    </row>
    <row r="145" spans="1:3">
      <c r="A145" s="3">
        <v>144</v>
      </c>
      <c r="B145" s="5">
        <v>0.64</v>
      </c>
      <c r="C145">
        <f>Calcul!$B$2/Calcul!$B$1/Ref!B145</f>
        <v>7.8125</v>
      </c>
    </row>
    <row r="146" spans="1:3">
      <c r="A146" s="3">
        <v>145</v>
      </c>
      <c r="B146" s="5">
        <v>0.63919999999999999</v>
      </c>
      <c r="C146">
        <f>Calcul!$B$2/Calcul!$B$1/Ref!B146</f>
        <v>7.8222778473091363</v>
      </c>
    </row>
    <row r="147" spans="1:3">
      <c r="A147" s="3">
        <v>146</v>
      </c>
      <c r="B147" s="5">
        <v>0.63829999999999998</v>
      </c>
      <c r="C147">
        <f>Calcul!$B$2/Calcul!$B$1/Ref!B147</f>
        <v>7.8333072223092595</v>
      </c>
    </row>
    <row r="148" spans="1:3">
      <c r="A148" s="3">
        <v>147</v>
      </c>
      <c r="B148" s="5">
        <v>0.63749999999999996</v>
      </c>
      <c r="C148">
        <f>Calcul!$B$2/Calcul!$B$1/Ref!B148</f>
        <v>7.8431372549019613</v>
      </c>
    </row>
    <row r="149" spans="1:3">
      <c r="A149" s="3">
        <v>148</v>
      </c>
      <c r="B149" s="5">
        <v>0.63670000000000004</v>
      </c>
      <c r="C149">
        <f>Calcul!$B$2/Calcul!$B$1/Ref!B149</f>
        <v>7.8529919899481699</v>
      </c>
    </row>
    <row r="150" spans="1:3">
      <c r="A150" s="3">
        <v>149</v>
      </c>
      <c r="B150" s="5">
        <v>0.63580000000000003</v>
      </c>
      <c r="C150">
        <f>Calcul!$B$2/Calcul!$B$1/Ref!B150</f>
        <v>7.864108210128971</v>
      </c>
    </row>
    <row r="151" spans="1:3">
      <c r="A151" s="3">
        <v>150</v>
      </c>
      <c r="B151" s="5">
        <v>0.63500000000000001</v>
      </c>
      <c r="C151">
        <f>Calcul!$B$2/Calcul!$B$1/Ref!B151</f>
        <v>7.8740157480314963</v>
      </c>
    </row>
    <row r="152" spans="1:3">
      <c r="A152" s="3">
        <v>151</v>
      </c>
      <c r="B152" s="5">
        <v>0.63419999999999999</v>
      </c>
      <c r="C152">
        <f>Calcul!$B$2/Calcul!$B$1/Ref!B152</f>
        <v>7.8839482812992747</v>
      </c>
    </row>
    <row r="153" spans="1:3">
      <c r="A153" s="3">
        <v>152</v>
      </c>
      <c r="B153" s="5">
        <v>0.63329999999999997</v>
      </c>
      <c r="C153">
        <f>Calcul!$B$2/Calcul!$B$1/Ref!B153</f>
        <v>7.8951523764408655</v>
      </c>
    </row>
    <row r="154" spans="1:3">
      <c r="A154" s="3">
        <v>153</v>
      </c>
      <c r="B154" s="5">
        <v>0.63249999999999995</v>
      </c>
      <c r="C154">
        <f>Calcul!$B$2/Calcul!$B$1/Ref!B154</f>
        <v>7.9051383399209492</v>
      </c>
    </row>
    <row r="155" spans="1:3">
      <c r="A155" s="3">
        <v>154</v>
      </c>
      <c r="B155" s="5">
        <v>0.63170000000000004</v>
      </c>
      <c r="C155">
        <f>Calcul!$B$2/Calcul!$B$1/Ref!B155</f>
        <v>7.9151495963273701</v>
      </c>
    </row>
    <row r="156" spans="1:3">
      <c r="A156" s="3">
        <v>155</v>
      </c>
      <c r="B156" s="5">
        <v>0.63080000000000003</v>
      </c>
      <c r="C156">
        <f>Calcul!$B$2/Calcul!$B$1/Ref!B156</f>
        <v>7.9264426125554843</v>
      </c>
    </row>
    <row r="157" spans="1:3">
      <c r="A157" s="3">
        <v>156</v>
      </c>
      <c r="B157" s="5">
        <v>0.63</v>
      </c>
      <c r="C157">
        <f>Calcul!$B$2/Calcul!$B$1/Ref!B157</f>
        <v>7.9365079365079367</v>
      </c>
    </row>
    <row r="158" spans="1:3">
      <c r="A158" s="3">
        <v>157</v>
      </c>
      <c r="B158" s="5">
        <v>0.62919999999999998</v>
      </c>
      <c r="C158">
        <f>Calcul!$B$2/Calcul!$B$1/Ref!B158</f>
        <v>7.9465988556897651</v>
      </c>
    </row>
    <row r="159" spans="1:3">
      <c r="A159" s="3">
        <v>158</v>
      </c>
      <c r="B159" s="5">
        <v>0.62829999999999997</v>
      </c>
      <c r="C159">
        <f>Calcul!$B$2/Calcul!$B$1/Ref!B159</f>
        <v>7.9579818558013695</v>
      </c>
    </row>
    <row r="160" spans="1:3">
      <c r="A160" s="3">
        <v>159</v>
      </c>
      <c r="B160" s="5">
        <v>0.62749999999999995</v>
      </c>
      <c r="C160">
        <f>Calcul!$B$2/Calcul!$B$1/Ref!B160</f>
        <v>7.9681274900398416</v>
      </c>
    </row>
    <row r="161" spans="1:3">
      <c r="A161" s="3">
        <v>160</v>
      </c>
      <c r="B161" s="5">
        <v>0.627</v>
      </c>
      <c r="C161">
        <f>Calcul!$B$2/Calcul!$B$1/Ref!B161</f>
        <v>7.9744816586921852</v>
      </c>
    </row>
    <row r="162" spans="1:3">
      <c r="A162" s="3">
        <v>161</v>
      </c>
      <c r="B162" s="5">
        <v>0.62649999999999995</v>
      </c>
      <c r="C162">
        <f>Calcul!$B$2/Calcul!$B$1/Ref!B162</f>
        <v>7.980845969672786</v>
      </c>
    </row>
    <row r="163" spans="1:3">
      <c r="A163" s="3">
        <v>162</v>
      </c>
      <c r="B163" s="5">
        <v>0.62549999999999994</v>
      </c>
      <c r="C163">
        <f>Calcul!$B$2/Calcul!$B$1/Ref!B163</f>
        <v>7.9936051159072745</v>
      </c>
    </row>
    <row r="164" spans="1:3">
      <c r="A164" s="3">
        <v>163</v>
      </c>
      <c r="B164" s="5">
        <v>0.62450000000000006</v>
      </c>
      <c r="C164">
        <f>Calcul!$B$2/Calcul!$B$1/Ref!B164</f>
        <v>8.0064051240992793</v>
      </c>
    </row>
    <row r="165" spans="1:3">
      <c r="A165" s="3">
        <v>164</v>
      </c>
      <c r="B165" s="5">
        <v>0.62350000000000005</v>
      </c>
      <c r="C165">
        <f>Calcul!$B$2/Calcul!$B$1/Ref!B165</f>
        <v>8.019246190858059</v>
      </c>
    </row>
    <row r="166" spans="1:3">
      <c r="A166" s="3">
        <v>165</v>
      </c>
      <c r="B166" s="5">
        <v>0.623</v>
      </c>
      <c r="C166">
        <f>Calcul!$B$2/Calcul!$B$1/Ref!B166</f>
        <v>8.0256821829855536</v>
      </c>
    </row>
    <row r="167" spans="1:3">
      <c r="A167" s="3">
        <v>166</v>
      </c>
      <c r="B167" s="5">
        <v>0.622</v>
      </c>
      <c r="C167">
        <f>Calcul!$B$2/Calcul!$B$1/Ref!B167</f>
        <v>8.0385852090032159</v>
      </c>
    </row>
    <row r="168" spans="1:3">
      <c r="A168" s="3">
        <v>167</v>
      </c>
      <c r="B168" s="5">
        <v>0.621</v>
      </c>
      <c r="C168">
        <f>Calcul!$B$2/Calcul!$B$1/Ref!B168</f>
        <v>8.0515297906602257</v>
      </c>
    </row>
    <row r="169" spans="1:3">
      <c r="A169" s="3">
        <v>168</v>
      </c>
      <c r="B169" s="5">
        <v>0.62</v>
      </c>
      <c r="C169">
        <f>Calcul!$B$2/Calcul!$B$1/Ref!B169</f>
        <v>8.064516129032258</v>
      </c>
    </row>
    <row r="170" spans="1:3">
      <c r="A170" s="3">
        <v>169</v>
      </c>
      <c r="B170" s="5">
        <v>0.61919999999999997</v>
      </c>
      <c r="C170">
        <f>Calcul!$B$2/Calcul!$B$1/Ref!B170</f>
        <v>8.0749354005167966</v>
      </c>
    </row>
    <row r="171" spans="1:3">
      <c r="A171" s="3">
        <v>170</v>
      </c>
      <c r="B171" s="5">
        <v>0.61829999999999996</v>
      </c>
      <c r="C171">
        <f>Calcul!$B$2/Calcul!$B$1/Ref!B171</f>
        <v>8.0866893093967338</v>
      </c>
    </row>
    <row r="172" spans="1:3">
      <c r="A172" s="3">
        <v>171</v>
      </c>
      <c r="B172" s="5">
        <v>0.61750000000000005</v>
      </c>
      <c r="C172">
        <f>Calcul!$B$2/Calcul!$B$1/Ref!B172</f>
        <v>8.097165991902834</v>
      </c>
    </row>
    <row r="173" spans="1:3">
      <c r="A173" s="3">
        <v>172</v>
      </c>
      <c r="B173" s="5">
        <v>0.61670000000000003</v>
      </c>
      <c r="C173">
        <f>Calcul!$B$2/Calcul!$B$1/Ref!B173</f>
        <v>8.1076698556834756</v>
      </c>
    </row>
    <row r="174" spans="1:3">
      <c r="A174" s="3">
        <v>173</v>
      </c>
      <c r="B174" s="5">
        <v>0.61599999999999999</v>
      </c>
      <c r="C174">
        <f>Calcul!$B$2/Calcul!$B$1/Ref!B174</f>
        <v>8.1168831168831161</v>
      </c>
    </row>
    <row r="175" spans="1:3">
      <c r="A175" s="3">
        <v>174</v>
      </c>
      <c r="B175" s="5">
        <v>0.61499999999999999</v>
      </c>
      <c r="C175">
        <f>Calcul!$B$2/Calcul!$B$1/Ref!B175</f>
        <v>8.1300813008130088</v>
      </c>
    </row>
    <row r="176" spans="1:3">
      <c r="A176" s="3">
        <v>175</v>
      </c>
      <c r="B176" s="5">
        <v>0.61419999999999997</v>
      </c>
      <c r="C176">
        <f>Calcul!$B$2/Calcul!$B$1/Ref!B176</f>
        <v>8.1406707912732017</v>
      </c>
    </row>
    <row r="177" spans="1:3">
      <c r="A177" s="3">
        <v>176</v>
      </c>
      <c r="B177" s="5">
        <v>0.61329999999999996</v>
      </c>
      <c r="C177">
        <f>Calcul!$B$2/Calcul!$B$1/Ref!B177</f>
        <v>8.1526169900538079</v>
      </c>
    </row>
    <row r="178" spans="1:3">
      <c r="A178" s="3">
        <v>177</v>
      </c>
      <c r="B178" s="5">
        <v>0.61250000000000004</v>
      </c>
      <c r="C178">
        <f>Calcul!$B$2/Calcul!$B$1/Ref!B178</f>
        <v>8.1632653061224492</v>
      </c>
    </row>
    <row r="179" spans="1:3">
      <c r="A179" s="3">
        <v>178</v>
      </c>
      <c r="B179" s="5">
        <v>0.61170000000000002</v>
      </c>
      <c r="C179">
        <f>Calcul!$B$2/Calcul!$B$1/Ref!B179</f>
        <v>8.173941474579042</v>
      </c>
    </row>
    <row r="180" spans="1:3">
      <c r="A180" s="3">
        <v>179</v>
      </c>
      <c r="B180" s="5">
        <v>0.61080000000000001</v>
      </c>
      <c r="C180">
        <f>Calcul!$B$2/Calcul!$B$1/Ref!B180</f>
        <v>8.1859855926653573</v>
      </c>
    </row>
    <row r="181" spans="1:3">
      <c r="A181" s="3">
        <v>180</v>
      </c>
      <c r="B181" s="5">
        <v>0.61</v>
      </c>
      <c r="C181">
        <f>Calcul!$B$2/Calcul!$B$1/Ref!B181</f>
        <v>8.1967213114754092</v>
      </c>
    </row>
    <row r="182" spans="1:3">
      <c r="A182" s="3">
        <v>181</v>
      </c>
      <c r="B182" s="5">
        <v>0.60919999999999996</v>
      </c>
      <c r="C182">
        <f>Calcul!$B$2/Calcul!$B$1/Ref!B182</f>
        <v>8.2074852265265932</v>
      </c>
    </row>
    <row r="183" spans="1:3">
      <c r="A183" s="3">
        <v>182</v>
      </c>
      <c r="B183" s="5">
        <v>0.60829999999999995</v>
      </c>
      <c r="C183">
        <f>Calcul!$B$2/Calcul!$B$1/Ref!B183</f>
        <v>8.2196284727930298</v>
      </c>
    </row>
    <row r="184" spans="1:3">
      <c r="A184" s="3">
        <v>183</v>
      </c>
      <c r="B184" s="5">
        <v>0.60750000000000004</v>
      </c>
      <c r="C184">
        <f>Calcul!$B$2/Calcul!$B$1/Ref!B184</f>
        <v>8.2304526748971192</v>
      </c>
    </row>
    <row r="185" spans="1:3">
      <c r="A185" s="3">
        <v>184</v>
      </c>
      <c r="B185" s="5">
        <v>0.60699999999999998</v>
      </c>
      <c r="C185">
        <f>Calcul!$B$2/Calcul!$B$1/Ref!B185</f>
        <v>8.2372322899505761</v>
      </c>
    </row>
    <row r="186" spans="1:3">
      <c r="A186" s="3">
        <v>185</v>
      </c>
      <c r="B186" s="5">
        <v>0.60650000000000004</v>
      </c>
      <c r="C186">
        <f>Calcul!$B$2/Calcul!$B$1/Ref!B186</f>
        <v>8.2440230832646328</v>
      </c>
    </row>
    <row r="187" spans="1:3">
      <c r="A187" s="3">
        <v>186</v>
      </c>
      <c r="B187" s="5">
        <v>0.60599999999999998</v>
      </c>
      <c r="C187">
        <f>Calcul!$B$2/Calcul!$B$1/Ref!B187</f>
        <v>8.2508250825082516</v>
      </c>
    </row>
    <row r="188" spans="1:3">
      <c r="A188" s="3">
        <v>187</v>
      </c>
      <c r="B188" s="5">
        <v>0.60499999999999998</v>
      </c>
      <c r="C188">
        <f>Calcul!$B$2/Calcul!$B$1/Ref!B188</f>
        <v>8.2644628099173563</v>
      </c>
    </row>
    <row r="189" spans="1:3">
      <c r="A189" s="3">
        <v>188</v>
      </c>
      <c r="B189" s="5">
        <v>0.60399999999999998</v>
      </c>
      <c r="C189">
        <f>Calcul!$B$2/Calcul!$B$1/Ref!B189</f>
        <v>8.2781456953642394</v>
      </c>
    </row>
    <row r="190" spans="1:3">
      <c r="A190" s="3">
        <v>189</v>
      </c>
      <c r="B190" s="5">
        <v>0.60299999999999998</v>
      </c>
      <c r="C190">
        <f>Calcul!$B$2/Calcul!$B$1/Ref!B190</f>
        <v>8.291873963515755</v>
      </c>
    </row>
    <row r="191" spans="1:3">
      <c r="A191" s="3">
        <v>190</v>
      </c>
      <c r="B191" s="5">
        <v>0.60199999999999998</v>
      </c>
      <c r="C191">
        <f>Calcul!$B$2/Calcul!$B$1/Ref!B191</f>
        <v>8.3056478405315612</v>
      </c>
    </row>
    <row r="192" spans="1:3">
      <c r="A192" s="3">
        <v>191</v>
      </c>
      <c r="B192" s="5">
        <v>0.60099999999999998</v>
      </c>
      <c r="C192">
        <f>Calcul!$B$2/Calcul!$B$1/Ref!B192</f>
        <v>8.3194675540765388</v>
      </c>
    </row>
    <row r="193" spans="1:3">
      <c r="A193" s="3">
        <v>192</v>
      </c>
      <c r="B193" s="5">
        <v>0.6</v>
      </c>
      <c r="C193">
        <f>Calcul!$B$2/Calcul!$B$1/Ref!B193</f>
        <v>8.3333333333333339</v>
      </c>
    </row>
    <row r="194" spans="1:3">
      <c r="A194" s="3">
        <v>193</v>
      </c>
      <c r="B194" s="5">
        <v>0.59919999999999995</v>
      </c>
      <c r="C194">
        <f>Calcul!$B$2/Calcul!$B$1/Ref!B194</f>
        <v>8.3444592790387198</v>
      </c>
    </row>
    <row r="195" spans="1:3">
      <c r="A195" s="3">
        <v>194</v>
      </c>
      <c r="B195" s="5">
        <v>0.59830000000000005</v>
      </c>
      <c r="C195">
        <f>Calcul!$B$2/Calcul!$B$1/Ref!B195</f>
        <v>8.357011532675914</v>
      </c>
    </row>
    <row r="196" spans="1:3">
      <c r="A196" s="3">
        <v>195</v>
      </c>
      <c r="B196" s="5">
        <v>0.59750000000000003</v>
      </c>
      <c r="C196">
        <f>Calcul!$B$2/Calcul!$B$1/Ref!B196</f>
        <v>8.3682008368200833</v>
      </c>
    </row>
    <row r="197" spans="1:3">
      <c r="A197" s="3">
        <v>196</v>
      </c>
      <c r="B197" s="5">
        <v>0.59670000000000001</v>
      </c>
      <c r="C197">
        <f>Calcul!$B$2/Calcul!$B$1/Ref!B197</f>
        <v>8.3794201441260263</v>
      </c>
    </row>
    <row r="198" spans="1:3">
      <c r="A198" s="3">
        <v>197</v>
      </c>
      <c r="B198" s="5">
        <v>0.59599999999999997</v>
      </c>
      <c r="C198">
        <f>Calcul!$B$2/Calcul!$B$1/Ref!B198</f>
        <v>8.3892617449664435</v>
      </c>
    </row>
    <row r="199" spans="1:3">
      <c r="A199" s="3">
        <v>198</v>
      </c>
      <c r="B199" s="5">
        <v>0.59499999999999997</v>
      </c>
      <c r="C199">
        <f>Calcul!$B$2/Calcul!$B$1/Ref!B199</f>
        <v>8.4033613445378155</v>
      </c>
    </row>
    <row r="200" spans="1:3">
      <c r="A200" s="3">
        <v>199</v>
      </c>
      <c r="B200" s="5">
        <v>0.59419999999999995</v>
      </c>
      <c r="C200">
        <f>Calcul!$B$2/Calcul!$B$1/Ref!B200</f>
        <v>8.4146751935375299</v>
      </c>
    </row>
    <row r="201" spans="1:3">
      <c r="A201" s="3">
        <v>200</v>
      </c>
      <c r="B201" s="5">
        <v>0.59330000000000005</v>
      </c>
      <c r="C201">
        <f>Calcul!$B$2/Calcul!$B$1/Ref!B201</f>
        <v>8.4274397438058308</v>
      </c>
    </row>
    <row r="202" spans="1:3">
      <c r="A202" s="3">
        <v>201</v>
      </c>
      <c r="B202" s="5">
        <v>0.59250000000000003</v>
      </c>
      <c r="C202">
        <f>Calcul!$B$2/Calcul!$B$1/Ref!B202</f>
        <v>8.4388185654008439</v>
      </c>
    </row>
    <row r="203" spans="1:3">
      <c r="A203" s="3">
        <v>202</v>
      </c>
      <c r="B203" s="5">
        <v>0.5917</v>
      </c>
      <c r="C203">
        <f>Calcul!$B$2/Calcul!$B$1/Ref!B203</f>
        <v>8.4502281561602164</v>
      </c>
    </row>
    <row r="204" spans="1:3">
      <c r="A204" s="3">
        <v>203</v>
      </c>
      <c r="B204" s="5">
        <v>0.59079999999999999</v>
      </c>
      <c r="C204">
        <f>Calcul!$B$2/Calcul!$B$1/Ref!B204</f>
        <v>8.4631008801624912</v>
      </c>
    </row>
    <row r="205" spans="1:3">
      <c r="A205" s="3">
        <v>204</v>
      </c>
      <c r="B205" s="5">
        <v>0.59</v>
      </c>
      <c r="C205">
        <f>Calcul!$B$2/Calcul!$B$1/Ref!B205</f>
        <v>8.4745762711864412</v>
      </c>
    </row>
    <row r="206" spans="1:3">
      <c r="A206" s="3">
        <v>205</v>
      </c>
      <c r="B206" s="5">
        <v>0.58919999999999995</v>
      </c>
      <c r="C206">
        <f>Calcul!$B$2/Calcul!$B$1/Ref!B206</f>
        <v>8.4860828241683652</v>
      </c>
    </row>
    <row r="207" spans="1:3">
      <c r="A207" s="3">
        <v>206</v>
      </c>
      <c r="B207" s="5">
        <v>0.58830000000000005</v>
      </c>
      <c r="C207">
        <f>Calcul!$B$2/Calcul!$B$1/Ref!B207</f>
        <v>8.4990651028386868</v>
      </c>
    </row>
    <row r="208" spans="1:3">
      <c r="A208" s="3">
        <v>207</v>
      </c>
      <c r="B208" s="5">
        <v>0.58750000000000002</v>
      </c>
      <c r="C208">
        <f>Calcul!$B$2/Calcul!$B$1/Ref!B208</f>
        <v>8.5106382978723403</v>
      </c>
    </row>
    <row r="209" spans="1:3">
      <c r="A209" s="3">
        <v>208</v>
      </c>
      <c r="B209" s="5">
        <v>0.5867</v>
      </c>
      <c r="C209">
        <f>Calcul!$B$2/Calcul!$B$1/Ref!B209</f>
        <v>8.522243054371911</v>
      </c>
    </row>
    <row r="210" spans="1:3">
      <c r="A210" s="3">
        <v>209</v>
      </c>
      <c r="B210" s="5">
        <v>0.58599999999999997</v>
      </c>
      <c r="C210">
        <f>Calcul!$B$2/Calcul!$B$1/Ref!B210</f>
        <v>8.5324232081911262</v>
      </c>
    </row>
    <row r="211" spans="1:3">
      <c r="A211" s="3">
        <v>210</v>
      </c>
      <c r="B211" s="5">
        <v>0.58499999999999996</v>
      </c>
      <c r="C211">
        <f>Calcul!$B$2/Calcul!$B$1/Ref!B211</f>
        <v>8.5470085470085468</v>
      </c>
    </row>
    <row r="212" spans="1:3">
      <c r="A212" s="3">
        <v>211</v>
      </c>
      <c r="B212" s="5">
        <v>0.58420000000000005</v>
      </c>
      <c r="C212">
        <f>Calcul!$B$2/Calcul!$B$1/Ref!B212</f>
        <v>8.5587127695994507</v>
      </c>
    </row>
    <row r="213" spans="1:3">
      <c r="A213" s="3">
        <v>212</v>
      </c>
      <c r="B213" s="5">
        <v>0.58330000000000004</v>
      </c>
      <c r="C213">
        <f>Calcul!$B$2/Calcul!$B$1/Ref!B213</f>
        <v>8.5719183953368763</v>
      </c>
    </row>
    <row r="214" spans="1:3">
      <c r="A214" s="3">
        <v>213</v>
      </c>
      <c r="B214" s="5">
        <v>0.58250000000000002</v>
      </c>
      <c r="C214">
        <f>Calcul!$B$2/Calcul!$B$1/Ref!B214</f>
        <v>8.5836909871244629</v>
      </c>
    </row>
    <row r="215" spans="1:3">
      <c r="A215" s="3">
        <v>214</v>
      </c>
      <c r="B215" s="5">
        <v>0.58169999999999999</v>
      </c>
      <c r="C215">
        <f>Calcul!$B$2/Calcul!$B$1/Ref!B215</f>
        <v>8.5954959601168994</v>
      </c>
    </row>
    <row r="216" spans="1:3">
      <c r="A216" s="3">
        <v>215</v>
      </c>
      <c r="B216" s="5">
        <v>0.58079999999999998</v>
      </c>
      <c r="C216">
        <f>Calcul!$B$2/Calcul!$B$1/Ref!B216</f>
        <v>8.6088154269972446</v>
      </c>
    </row>
    <row r="217" spans="1:3">
      <c r="A217" s="3">
        <v>216</v>
      </c>
      <c r="B217" s="5">
        <v>0.57999999999999996</v>
      </c>
      <c r="C217">
        <f>Calcul!$B$2/Calcul!$B$1/Ref!B217</f>
        <v>8.6206896551724146</v>
      </c>
    </row>
    <row r="218" spans="1:3">
      <c r="A218" s="3">
        <v>217</v>
      </c>
      <c r="B218" s="5">
        <v>0.57920000000000005</v>
      </c>
      <c r="C218">
        <f>Calcul!$B$2/Calcul!$B$1/Ref!B218</f>
        <v>8.6325966850828717</v>
      </c>
    </row>
    <row r="219" spans="1:3">
      <c r="A219" s="3">
        <v>218</v>
      </c>
      <c r="B219" s="5">
        <v>0.57830000000000004</v>
      </c>
      <c r="C219">
        <f>Calcul!$B$2/Calcul!$B$1/Ref!B219</f>
        <v>8.6460314715545561</v>
      </c>
    </row>
    <row r="220" spans="1:3">
      <c r="A220" s="3">
        <v>219</v>
      </c>
      <c r="B220" s="5">
        <v>0.57750000000000001</v>
      </c>
      <c r="C220">
        <f>Calcul!$B$2/Calcul!$B$1/Ref!B220</f>
        <v>8.6580086580086579</v>
      </c>
    </row>
    <row r="221" spans="1:3">
      <c r="A221" s="3">
        <v>220</v>
      </c>
      <c r="B221" s="5">
        <v>0.57669999999999999</v>
      </c>
      <c r="C221">
        <f>Calcul!$B$2/Calcul!$B$1/Ref!B221</f>
        <v>8.6700190740419636</v>
      </c>
    </row>
    <row r="222" spans="1:3">
      <c r="A222" s="3">
        <v>221</v>
      </c>
      <c r="B222" s="5">
        <v>0.57579999999999998</v>
      </c>
      <c r="C222">
        <f>Calcul!$B$2/Calcul!$B$1/Ref!B222</f>
        <v>8.683570684265371</v>
      </c>
    </row>
    <row r="223" spans="1:3">
      <c r="A223" s="3">
        <v>222</v>
      </c>
      <c r="B223" s="5">
        <v>0.57499999999999996</v>
      </c>
      <c r="C223">
        <f>Calcul!$B$2/Calcul!$B$1/Ref!B223</f>
        <v>8.6956521739130448</v>
      </c>
    </row>
    <row r="224" spans="1:3">
      <c r="A224" s="3">
        <v>223</v>
      </c>
      <c r="B224" s="5">
        <v>0.57420000000000004</v>
      </c>
      <c r="C224">
        <f>Calcul!$B$2/Calcul!$B$1/Ref!B224</f>
        <v>8.707767328456983</v>
      </c>
    </row>
    <row r="225" spans="1:3">
      <c r="A225" s="3">
        <v>224</v>
      </c>
      <c r="B225" s="5">
        <v>0.57330000000000003</v>
      </c>
      <c r="C225">
        <f>Calcul!$B$2/Calcul!$B$1/Ref!B225</f>
        <v>8.721437292865863</v>
      </c>
    </row>
    <row r="226" spans="1:3">
      <c r="A226" s="3">
        <v>225</v>
      </c>
      <c r="B226" s="5">
        <v>0.57250000000000001</v>
      </c>
      <c r="C226">
        <f>Calcul!$B$2/Calcul!$B$1/Ref!B226</f>
        <v>8.7336244541484707</v>
      </c>
    </row>
    <row r="227" spans="1:3">
      <c r="A227" s="3">
        <v>226</v>
      </c>
      <c r="B227" s="5">
        <v>0.57169999999999999</v>
      </c>
      <c r="C227">
        <f>Calcul!$B$2/Calcul!$B$1/Ref!B227</f>
        <v>8.7458457232814411</v>
      </c>
    </row>
    <row r="228" spans="1:3">
      <c r="A228" s="3">
        <v>227</v>
      </c>
      <c r="B228" s="5">
        <v>0.57079999999999997</v>
      </c>
      <c r="C228">
        <f>Calcul!$B$2/Calcul!$B$1/Ref!B228</f>
        <v>8.7596355991590755</v>
      </c>
    </row>
    <row r="229" spans="1:3">
      <c r="A229" s="3">
        <v>228</v>
      </c>
      <c r="B229" s="5">
        <v>0.56999999999999995</v>
      </c>
      <c r="C229">
        <f>Calcul!$B$2/Calcul!$B$1/Ref!B229</f>
        <v>8.7719298245614041</v>
      </c>
    </row>
    <row r="230" spans="1:3">
      <c r="A230" s="3">
        <v>229</v>
      </c>
      <c r="B230" s="5">
        <v>0.56920000000000004</v>
      </c>
      <c r="C230">
        <f>Calcul!$B$2/Calcul!$B$1/Ref!B230</f>
        <v>8.7842586085734364</v>
      </c>
    </row>
    <row r="231" spans="1:3">
      <c r="A231" s="3">
        <v>230</v>
      </c>
      <c r="B231" s="5">
        <v>0.56830000000000003</v>
      </c>
      <c r="C231">
        <f>Calcul!$B$2/Calcul!$B$1/Ref!B231</f>
        <v>8.7981699806440261</v>
      </c>
    </row>
    <row r="232" spans="1:3">
      <c r="A232" s="3">
        <v>231</v>
      </c>
      <c r="B232" s="5">
        <v>0.5675</v>
      </c>
      <c r="C232">
        <f>Calcul!$B$2/Calcul!$B$1/Ref!B232</f>
        <v>8.8105726872246688</v>
      </c>
    </row>
    <row r="233" spans="1:3">
      <c r="A233" s="3">
        <v>232</v>
      </c>
      <c r="B233" s="5">
        <v>0.56669999999999998</v>
      </c>
      <c r="C233">
        <f>Calcul!$B$2/Calcul!$B$1/Ref!B233</f>
        <v>8.8230104111522856</v>
      </c>
    </row>
    <row r="234" spans="1:3">
      <c r="A234" s="3">
        <v>233</v>
      </c>
      <c r="B234" s="5">
        <v>0.56579999999999997</v>
      </c>
      <c r="C234">
        <f>Calcul!$B$2/Calcul!$B$1/Ref!B234</f>
        <v>8.837044892188052</v>
      </c>
    </row>
    <row r="235" spans="1:3">
      <c r="A235" s="3">
        <v>234</v>
      </c>
      <c r="B235" s="5">
        <v>0.56499999999999995</v>
      </c>
      <c r="C235">
        <f>Calcul!$B$2/Calcul!$B$1/Ref!B235</f>
        <v>8.8495575221238951</v>
      </c>
    </row>
    <row r="236" spans="1:3">
      <c r="A236" s="3">
        <v>235</v>
      </c>
      <c r="B236" s="5">
        <v>0.56420000000000003</v>
      </c>
      <c r="C236">
        <f>Calcul!$B$2/Calcul!$B$1/Ref!B236</f>
        <v>8.8621056362991837</v>
      </c>
    </row>
    <row r="237" spans="1:3">
      <c r="A237" s="3">
        <v>236</v>
      </c>
      <c r="B237" s="5">
        <v>0.56330000000000002</v>
      </c>
      <c r="C237">
        <f>Calcul!$B$2/Calcul!$B$1/Ref!B237</f>
        <v>8.8762648677436538</v>
      </c>
    </row>
    <row r="238" spans="1:3">
      <c r="A238" s="3">
        <v>237</v>
      </c>
      <c r="B238" s="5">
        <v>0.5625</v>
      </c>
      <c r="C238">
        <f>Calcul!$B$2/Calcul!$B$1/Ref!B238</f>
        <v>8.8888888888888893</v>
      </c>
    </row>
    <row r="239" spans="1:3">
      <c r="A239" s="3">
        <v>238</v>
      </c>
      <c r="B239" s="5">
        <v>0.56169999999999998</v>
      </c>
      <c r="C239">
        <f>Calcul!$B$2/Calcul!$B$1/Ref!B239</f>
        <v>8.9015488695032943</v>
      </c>
    </row>
    <row r="240" spans="1:3">
      <c r="A240" s="3">
        <v>239</v>
      </c>
      <c r="B240" s="5">
        <v>0.56079999999999997</v>
      </c>
      <c r="C240">
        <f>Calcul!$B$2/Calcul!$B$1/Ref!B240</f>
        <v>8.91583452211127</v>
      </c>
    </row>
    <row r="241" spans="1:16">
      <c r="A241" s="3">
        <v>240</v>
      </c>
      <c r="B241" s="5">
        <v>0.56000000000000005</v>
      </c>
      <c r="C241">
        <f>Calcul!$B$2/Calcul!$B$1/Ref!B241</f>
        <v>8.928571428571427</v>
      </c>
    </row>
    <row r="242" spans="1:16">
      <c r="A242" s="1"/>
    </row>
    <row r="243" spans="1:16">
      <c r="A243" s="2" t="s">
        <v>1</v>
      </c>
      <c r="B243" t="s">
        <v>2</v>
      </c>
      <c r="C243" t="s">
        <v>3</v>
      </c>
      <c r="D243" t="s">
        <v>4</v>
      </c>
      <c r="E243" t="s">
        <v>5</v>
      </c>
      <c r="F243" t="s">
        <v>6</v>
      </c>
      <c r="G243" t="s">
        <v>7</v>
      </c>
      <c r="H243" t="s">
        <v>8</v>
      </c>
      <c r="I243" t="s">
        <v>9</v>
      </c>
      <c r="J243" t="s">
        <v>10</v>
      </c>
      <c r="N243" t="s">
        <v>11</v>
      </c>
    </row>
    <row r="244" spans="1:16">
      <c r="A244" s="2" t="s">
        <v>12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9</v>
      </c>
      <c r="I244" t="s">
        <v>19</v>
      </c>
      <c r="J244" t="s">
        <v>20</v>
      </c>
      <c r="N244" t="s">
        <v>5</v>
      </c>
      <c r="O244" t="s">
        <v>21</v>
      </c>
      <c r="P244" t="s">
        <v>22</v>
      </c>
    </row>
  </sheetData>
  <pageMargins left="0.7" right="0.7" top="0.75" bottom="0.75" header="0.3" footer="0.3"/>
  <headerFooter>
    <oddFooter>&amp;L_x000D_&amp;1#&amp;"Aptos"&amp;10&amp;K008000 Confidential -C2-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Calcul</vt:lpstr>
      <vt:lpstr>Ref</vt:lpstr>
    </vt:vector>
  </TitlesOfParts>
  <Company>OPmobility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GUILBERT, Guillaume (ext)</dc:creator>
  <cp:lastModifiedBy>GUILBERT, Guillaume (ext)</cp:lastModifiedBy>
  <dcterms:created xsi:type="dcterms:W3CDTF">2026-01-15T08:44:19Z</dcterms:created>
  <dcterms:modified xsi:type="dcterms:W3CDTF">2026-01-15T09:55:48Z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6af384-74fa-4222-b636-fc8f834be956_Enabled">
    <vt:lpwstr>true</vt:lpwstr>
  </property>
  <property fmtid="{D5CDD505-2E9C-101B-9397-08002B2CF9AE}" pid="3" name="MSIP_Label_c26af384-74fa-4222-b636-fc8f834be956_SetDate">
    <vt:lpwstr>2026-01-15T09:03:09Z</vt:lpwstr>
  </property>
  <property fmtid="{D5CDD505-2E9C-101B-9397-08002B2CF9AE}" pid="4" name="MSIP_Label_c26af384-74fa-4222-b636-fc8f834be956_Method">
    <vt:lpwstr>Standard</vt:lpwstr>
  </property>
  <property fmtid="{D5CDD505-2E9C-101B-9397-08002B2CF9AE}" pid="5" name="MSIP_Label_c26af384-74fa-4222-b636-fc8f834be956_Name">
    <vt:lpwstr>C2 - Confidential – Internal distribution</vt:lpwstr>
  </property>
  <property fmtid="{D5CDD505-2E9C-101B-9397-08002B2CF9AE}" pid="6" name="MSIP_Label_c26af384-74fa-4222-b636-fc8f834be956_SiteId">
    <vt:lpwstr>2696ce3d-b7da-4bf4-8f6d-b4df854adfcd</vt:lpwstr>
  </property>
  <property fmtid="{D5CDD505-2E9C-101B-9397-08002B2CF9AE}" pid="7" name="MSIP_Label_c26af384-74fa-4222-b636-fc8f834be956_ActionId">
    <vt:lpwstr>2cac06f8-68e1-4707-8760-9b3c53552fa2</vt:lpwstr>
  </property>
  <property fmtid="{D5CDD505-2E9C-101B-9397-08002B2CF9AE}" pid="8" name="MSIP_Label_c26af384-74fa-4222-b636-fc8f834be956_ContentBits">
    <vt:lpwstr>2</vt:lpwstr>
  </property>
  <property fmtid="{D5CDD505-2E9C-101B-9397-08002B2CF9AE}" pid="9" name="MSIP_Label_c26af384-74fa-4222-b636-fc8f834be956_Tag">
    <vt:lpwstr>10, 3, 0, 1</vt:lpwstr>
  </property>
</Properties>
</file>